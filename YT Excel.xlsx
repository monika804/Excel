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c14164176d9cad1/Documents/"/>
    </mc:Choice>
  </mc:AlternateContent>
  <xr:revisionPtr revIDLastSave="657" documentId="8_{3861A1A9-13F0-415D-A40C-3CAF2D4B8F23}" xr6:coauthVersionLast="47" xr6:coauthVersionMax="47" xr10:uidLastSave="{033C4596-2997-4169-91F4-B298CBAE5922}"/>
  <bookViews>
    <workbookView xWindow="-110" yWindow="-110" windowWidth="19420" windowHeight="10300" firstSheet="8" activeTab="12" xr2:uid="{269AB553-7A1B-47A6-A7DA-9B0BCEFBA7C0}"/>
  </bookViews>
  <sheets>
    <sheet name="YT Excel" sheetId="1" r:id="rId1"/>
    <sheet name="Autofill" sheetId="3" r:id="rId2"/>
    <sheet name="Rounding" sheetId="2" r:id="rId3"/>
    <sheet name="Hiperlink" sheetId="5" r:id="rId4"/>
    <sheet name="Dropdown" sheetId="6" r:id="rId5"/>
    <sheet name="Sheet5" sheetId="8" r:id="rId6"/>
    <sheet name="School Data" sheetId="4" r:id="rId7"/>
    <sheet name="Charts" sheetId="9" r:id="rId8"/>
    <sheet name="VLookUp" sheetId="10" r:id="rId9"/>
    <sheet name="Pivot table" sheetId="11" r:id="rId10"/>
    <sheet name="Pivot table1" sheetId="14" r:id="rId11"/>
    <sheet name="Pivot table3" sheetId="18" r:id="rId12"/>
    <sheet name="Pivot table2" sheetId="15" r:id="rId13"/>
  </sheets>
  <definedNames>
    <definedName name="_xlnm._FilterDatabase" localSheetId="6" hidden="1">'School Data'!$A$3:$I$17</definedName>
    <definedName name="_xlnm._FilterDatabase" localSheetId="0" hidden="1">'YT Excel'!$A$4:$J$11</definedName>
    <definedName name="Slicer_Gender">#N/A</definedName>
    <definedName name="Slicer_House">#N/A</definedName>
  </definedNames>
  <calcPr calcId="191029"/>
  <pivotCaches>
    <pivotCache cacheId="29" r:id="rId1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9" i="10" l="1"/>
  <c r="K10" i="10"/>
  <c r="K11" i="10"/>
  <c r="K8" i="10"/>
  <c r="D4" i="2"/>
  <c r="D5" i="2"/>
  <c r="D6" i="2"/>
  <c r="D7" i="2"/>
  <c r="D3" i="2"/>
  <c r="C4" i="2"/>
  <c r="C5" i="2"/>
  <c r="C6" i="2"/>
  <c r="C7" i="2"/>
  <c r="C3" i="2"/>
  <c r="B4" i="2"/>
  <c r="B5" i="2"/>
  <c r="B6" i="2"/>
  <c r="B7" i="2"/>
  <c r="B3" i="2"/>
  <c r="H5" i="1"/>
  <c r="I5" i="1"/>
  <c r="J5" i="1"/>
  <c r="H6" i="1"/>
  <c r="I6" i="1"/>
  <c r="J6" i="1"/>
  <c r="H7" i="1"/>
  <c r="I7" i="1"/>
  <c r="J7" i="1"/>
  <c r="H8" i="1"/>
  <c r="I8" i="1"/>
  <c r="J8" i="1"/>
  <c r="H9" i="1"/>
  <c r="I9" i="1"/>
  <c r="J9" i="1"/>
</calcChain>
</file>

<file path=xl/sharedStrings.xml><?xml version="1.0" encoding="utf-8"?>
<sst xmlns="http://schemas.openxmlformats.org/spreadsheetml/2006/main" count="332" uniqueCount="117">
  <si>
    <t>Sr no</t>
  </si>
  <si>
    <t>First name</t>
  </si>
  <si>
    <t>Last name</t>
  </si>
  <si>
    <t>DOJ</t>
  </si>
  <si>
    <t>Sal-Jan</t>
  </si>
  <si>
    <t>Sal-Total</t>
  </si>
  <si>
    <t>Avg Sal</t>
  </si>
  <si>
    <t>Full name</t>
  </si>
  <si>
    <t>RNM</t>
  </si>
  <si>
    <t>GOPAL</t>
  </si>
  <si>
    <t>JOSEPH</t>
  </si>
  <si>
    <t>HARI</t>
  </si>
  <si>
    <t>RAJA</t>
  </si>
  <si>
    <t>KUMAR</t>
  </si>
  <si>
    <t>VERMA</t>
  </si>
  <si>
    <t>PAUL;</t>
  </si>
  <si>
    <t>SINGH</t>
  </si>
  <si>
    <t>RAM</t>
  </si>
  <si>
    <t>Employee Salary Description</t>
  </si>
  <si>
    <t>Numbers</t>
  </si>
  <si>
    <t>Round</t>
  </si>
  <si>
    <t>Round Up</t>
  </si>
  <si>
    <t>Round down</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</si>
  <si>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</si>
  <si>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</si>
  <si>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</si>
  <si>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</si>
  <si>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</si>
  <si>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</si>
  <si>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</si>
  <si>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</si>
  <si>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</si>
  <si>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</si>
  <si>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</si>
  <si>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</si>
  <si>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</si>
  <si>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</si>
  <si>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</si>
  <si>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</si>
  <si>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</si>
  <si>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</si>
  <si>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</si>
  <si>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Jan</t>
  </si>
  <si>
    <t>Feb</t>
  </si>
  <si>
    <t>Mar</t>
  </si>
  <si>
    <t>Apr</t>
  </si>
  <si>
    <t>Jun</t>
  </si>
  <si>
    <t>Jul</t>
  </si>
  <si>
    <t>Aug</t>
  </si>
  <si>
    <t>Sep</t>
  </si>
  <si>
    <t>Oct</t>
  </si>
  <si>
    <t>Nov</t>
  </si>
  <si>
    <t>Dec</t>
  </si>
  <si>
    <t>Mon</t>
  </si>
  <si>
    <t>Tue</t>
  </si>
  <si>
    <t>Wed</t>
  </si>
  <si>
    <t>Thu</t>
  </si>
  <si>
    <t>Fri</t>
  </si>
  <si>
    <t>Sat</t>
  </si>
  <si>
    <t>Sun</t>
  </si>
  <si>
    <t>Name</t>
  </si>
  <si>
    <t>Abhimanyu</t>
  </si>
  <si>
    <t>Arjun</t>
  </si>
  <si>
    <t>Champa</t>
  </si>
  <si>
    <t>Gopal</t>
  </si>
  <si>
    <t>Gopi</t>
  </si>
  <si>
    <t>Hari</t>
  </si>
  <si>
    <t>Indu</t>
  </si>
  <si>
    <t>Keshav</t>
  </si>
  <si>
    <t>Lalita</t>
  </si>
  <si>
    <t>Madhav</t>
  </si>
  <si>
    <t>Sudevi</t>
  </si>
  <si>
    <t>Visakha</t>
  </si>
  <si>
    <t>Vrinda</t>
  </si>
  <si>
    <t>Gender</t>
  </si>
  <si>
    <t>M</t>
  </si>
  <si>
    <t>F</t>
  </si>
  <si>
    <t>Age</t>
  </si>
  <si>
    <t>Class</t>
  </si>
  <si>
    <t>House</t>
  </si>
  <si>
    <t>Bhoomi</t>
  </si>
  <si>
    <t>Vayu</t>
  </si>
  <si>
    <t>Jal</t>
  </si>
  <si>
    <t>Agni</t>
  </si>
  <si>
    <t>Unit test 1</t>
  </si>
  <si>
    <t>Unit test 2</t>
  </si>
  <si>
    <t>Final test</t>
  </si>
  <si>
    <t>Gmail</t>
  </si>
  <si>
    <t>Abhimanyu@mail.com</t>
  </si>
  <si>
    <t>Arjun@mail.com</t>
  </si>
  <si>
    <t>Gopal@mail.com</t>
  </si>
  <si>
    <t>Hari@mail.com</t>
  </si>
  <si>
    <t>Keshav@mail.com</t>
  </si>
  <si>
    <t>Madhav@mail.com</t>
  </si>
  <si>
    <t>RNM@mail.com</t>
  </si>
  <si>
    <t>RNM School Data</t>
  </si>
  <si>
    <t>Monika</t>
  </si>
  <si>
    <t>Yash</t>
  </si>
  <si>
    <t>Vaishnavi</t>
  </si>
  <si>
    <t>Suhasini</t>
  </si>
  <si>
    <t>Grade</t>
  </si>
  <si>
    <t>A</t>
  </si>
  <si>
    <t>B</t>
  </si>
  <si>
    <t>C</t>
  </si>
  <si>
    <t>mail.com</t>
  </si>
  <si>
    <t>Vrinda@mail.com</t>
  </si>
  <si>
    <t>Gopi@mail.com</t>
  </si>
  <si>
    <t>Lalita@mail.com</t>
  </si>
  <si>
    <t>Indu@mail.com</t>
  </si>
  <si>
    <t>Champa@mail.com</t>
  </si>
  <si>
    <t>Sudevi@mail.com</t>
  </si>
  <si>
    <t>Visakha@mail.com</t>
  </si>
  <si>
    <t>Row Labels</t>
  </si>
  <si>
    <t>Grand Total</t>
  </si>
  <si>
    <t>Sum of Final test</t>
  </si>
  <si>
    <t>Average of Final test</t>
  </si>
  <si>
    <t>Half year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</si>
</sst>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800]dddd\,\ mmmm\ dd\,\ yyyy"/>
    <numFmt numFmtId="165" formatCode="0.000"/>
    <numFmt numFmtId="166" formatCode="0.0000"/>
    <numFmt numFmtId="167" formatCode="0.0"/>
  </numFmts>
  <fonts count="9" x14ac:knownFonts="1">
    <font>
      <sz val="11"/>
      <color theme="1"/>
      <name val="Calibri"/>
      <family val="2"/>
      <scheme val="minor"/>
    </font>
    <font>
      <b/>
      <sz val="11"/>
      <color theme="1"/>
      <name val="Calibri"/>
      <family val="2"/>
      <scheme val="minor"/>
    </font>
    <font>
      <b/>
      <sz val="20"/>
      <color theme="1"/>
      <name val="Calibri"/>
      <family val="2"/>
      <scheme val="minor"/>
    </font>
    <font>
      <sz val="8"/>
      <name val="Calibri"/>
      <family val="2"/>
      <scheme val="minor"/>
    </font>
    <font>
      <u/>
      <sz val="11"/>
      <color theme="10"/>
      <name val="Calibri"/>
      <family val="2"/>
      <scheme val="minor"/>
    </font>
    <font>
      <b/>
      <sz val="14"/>
      <color theme="1"/>
      <name val="Calibri"/>
      <family val="2"/>
      <scheme val="minor"/>
    </font>
    <font>
      <b/>
      <u/>
      <sz val="14"/>
      <color theme="1"/>
      <name val="Calibri"/>
      <family val="2"/>
      <scheme val="minor"/>
    </font>
    <font>
      <sz val="16"/>
      <color theme="1"/>
      <name val="Calibri"/>
      <family val="2"/>
      <scheme val="minor"/>
    </font>
    <font>
      <b/>
      <sz val="14"/>
      <color theme="0"/>
      <name val="Calibri"/>
      <family val="2"/>
      <scheme val="minor"/>
    </font>
  </fonts>
  <fills count="7">
    <fill>
      <patternFill patternType="none"/>
    </fill>
    <fill>
      <patternFill patternType="gray125"/>
    </fill>
    <fill>
      <patternFill patternType="solid">
        <fgColor theme="4" tint="0.59999389629810485"/>
        <bgColor indexed="64"/>
      </patternFill>
    </fill>
    <fill>
      <patternFill patternType="solid">
        <fgColor rgb="FF909EE6"/>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rgb="FF227ACB"/>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4" fillId="0" borderId="0" applyNumberFormat="0" applyFill="0" applyBorder="0" applyAlignment="0" applyProtection="0"/>
  </cellStyleXfs>
  <cellXfs count="40">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center"/>
    </xf>
    <xf numFmtId="164" fontId="0" fillId="0" borderId="1" xfId="0" applyNumberFormat="1" applyBorder="1" applyAlignment="1">
      <alignment horizontal="center"/>
    </xf>
    <xf numFmtId="0" fontId="0" fillId="0" borderId="1" xfId="0" applyBorder="1"/>
    <xf numFmtId="165" fontId="0" fillId="0" borderId="0" xfId="0" applyNumberFormat="1"/>
    <xf numFmtId="166" fontId="0" fillId="0" borderId="0" xfId="0" applyNumberFormat="1"/>
    <xf numFmtId="167" fontId="0" fillId="0" borderId="0" xfId="0" applyNumberFormat="1"/>
    <xf numFmtId="0" fontId="1" fillId="0" borderId="0" xfId="0" applyFont="1"/>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1" fillId="0" borderId="1" xfId="0" applyFont="1" applyBorder="1"/>
    <xf numFmtId="0" fontId="4" fillId="0" borderId="1" xfId="1" applyBorder="1" applyAlignment="1">
      <alignment horizontal="center"/>
    </xf>
    <xf numFmtId="0" fontId="7" fillId="4" borderId="0" xfId="0" applyFont="1" applyFill="1" applyAlignment="1">
      <alignment horizontal="left" indent="24"/>
    </xf>
    <xf numFmtId="0" fontId="7" fillId="4" borderId="0" xfId="0" applyFont="1" applyFill="1" applyBorder="1" applyAlignment="1">
      <alignment horizontal="left" indent="24"/>
    </xf>
    <xf numFmtId="0" fontId="5" fillId="3" borderId="9" xfId="0" applyFont="1" applyFill="1" applyBorder="1" applyAlignment="1">
      <alignment horizontal="center"/>
    </xf>
    <xf numFmtId="0" fontId="6" fillId="3" borderId="9" xfId="0" applyFont="1" applyFill="1" applyBorder="1" applyAlignment="1">
      <alignment horizontal="center"/>
    </xf>
    <xf numFmtId="0" fontId="4" fillId="3" borderId="9" xfId="1" applyFill="1" applyBorder="1" applyAlignment="1">
      <alignment horizontal="center"/>
    </xf>
    <xf numFmtId="0" fontId="8" fillId="3" borderId="1" xfId="0" applyFont="1" applyFill="1" applyBorder="1" applyAlignment="1">
      <alignment horizontal="center"/>
    </xf>
    <xf numFmtId="0" fontId="4" fillId="5" borderId="1" xfId="1" applyFont="1" applyFill="1" applyBorder="1" applyAlignment="1">
      <alignment horizontal="center"/>
    </xf>
    <xf numFmtId="0" fontId="4" fillId="0" borderId="1" xfId="1" applyFont="1" applyBorder="1" applyAlignment="1">
      <alignment horizontal="center"/>
    </xf>
    <xf numFmtId="0" fontId="0" fillId="5" borderId="1" xfId="0" applyFont="1" applyFill="1" applyBorder="1" applyAlignment="1">
      <alignment horizontal="center"/>
    </xf>
    <xf numFmtId="0" fontId="0" fillId="0" borderId="1" xfId="0" applyFont="1" applyBorder="1" applyAlignment="1">
      <alignment horizontal="center"/>
    </xf>
    <xf numFmtId="0" fontId="0" fillId="5" borderId="8" xfId="0" applyFont="1" applyFill="1" applyBorder="1" applyAlignment="1">
      <alignment horizontal="center"/>
    </xf>
    <xf numFmtId="0" fontId="0" fillId="0" borderId="8" xfId="0" applyFont="1" applyBorder="1" applyAlignment="1">
      <alignment horizontal="center"/>
    </xf>
    <xf numFmtId="0" fontId="0" fillId="6" borderId="0" xfId="0" applyFill="1"/>
    <xf numFmtId="0" fontId="8" fillId="6" borderId="1" xfId="0" applyFont="1" applyFill="1" applyBorder="1" applyAlignment="1">
      <alignment horizontal="center"/>
    </xf>
    <xf numFmtId="0" fontId="8" fillId="6" borderId="8"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9" xfId="0" applyFont="1" applyBorder="1" applyAlignment="1">
      <alignment horizontal="center"/>
    </xf>
    <xf numFmtId="0" fontId="0" fillId="0" borderId="10" xfId="0" applyFont="1" applyBorder="1" applyAlignment="1">
      <alignment horizontal="center"/>
    </xf>
    <xf numFmtId="0" fontId="8" fillId="6" borderId="11" xfId="0" applyFont="1" applyFill="1" applyBorder="1" applyAlignment="1">
      <alignment horizontal="center"/>
    </xf>
  </cellXfs>
  <cellStyles count="2">
    <cellStyle name="Hyperlink" xfId="1" builtinId="8"/>
    <cellStyle name="Normal" xfId="0" builtinId="0"/>
  </cellStyles>
  <dxfs count="38">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name val="Calibri"/>
        <family val="2"/>
        <scheme val="minor"/>
      </font>
      <fill>
        <patternFill patternType="solid">
          <fgColor indexed="64"/>
          <bgColor rgb="FF227ACB"/>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b/>
        <i val="0"/>
        <strike val="0"/>
        <condense val="0"/>
        <extend val="0"/>
        <outline val="0"/>
        <shadow val="0"/>
        <u val="none"/>
        <vertAlign val="baseline"/>
        <sz val="14"/>
        <color theme="0"/>
        <name val="Calibri"/>
        <family val="2"/>
        <scheme val="minor"/>
      </font>
      <fill>
        <patternFill patternType="solid">
          <fgColor indexed="64"/>
          <bgColor rgb="FF227ACB"/>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4"/>
        <color theme="1"/>
        <name val="Calibri"/>
        <family val="2"/>
        <scheme val="minor"/>
      </font>
      <fill>
        <patternFill patternType="solid">
          <fgColor indexed="64"/>
          <bgColor rgb="FF909EE6"/>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Charts!$B$3</c:f>
              <c:strCache>
                <c:ptCount val="1"/>
                <c:pt idx="0">
                  <c:v>Final test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Charts!$A$4:$A$17</c:f>
              <c:strCache>
                <c:ptCount val="14"/>
                <c:pt idx="0">
                  <c:v>Abhimanyu</c:v>
                </c:pt>
                <c:pt idx="1">
                  <c:v>Vrinda</c:v>
                </c:pt>
                <c:pt idx="2">
                  <c:v>Gopi</c:v>
                </c:pt>
                <c:pt idx="3">
                  <c:v>Keshav</c:v>
                </c:pt>
                <c:pt idx="4">
                  <c:v>Lalita</c:v>
                </c:pt>
                <c:pt idx="5">
                  <c:v>Arjun</c:v>
                </c:pt>
                <c:pt idx="6">
                  <c:v>Indu</c:v>
                </c:pt>
                <c:pt idx="7">
                  <c:v>Madhav</c:v>
                </c:pt>
                <c:pt idx="8">
                  <c:v>Champa</c:v>
                </c:pt>
                <c:pt idx="9">
                  <c:v>Sudevi</c:v>
                </c:pt>
                <c:pt idx="10">
                  <c:v>Visakha</c:v>
                </c:pt>
                <c:pt idx="11">
                  <c:v>Hari</c:v>
                </c:pt>
                <c:pt idx="12">
                  <c:v>Gopal</c:v>
                </c:pt>
                <c:pt idx="13">
                  <c:v>RNM</c:v>
                </c:pt>
              </c:strCache>
            </c:strRef>
          </c:cat>
          <c:val>
            <c:numRef>
              <c:f>Charts!$B$4:$B$17</c:f>
              <c:numCache>
                <c:formatCode>General</c:formatCode>
                <c:ptCount val="14"/>
                <c:pt idx="0">
                  <c:v>99</c:v>
                </c:pt>
                <c:pt idx="1">
                  <c:v>98</c:v>
                </c:pt>
                <c:pt idx="2">
                  <c:v>96</c:v>
                </c:pt>
                <c:pt idx="3">
                  <c:v>96</c:v>
                </c:pt>
                <c:pt idx="4">
                  <c:v>92</c:v>
                </c:pt>
                <c:pt idx="5">
                  <c:v>91</c:v>
                </c:pt>
                <c:pt idx="6">
                  <c:v>89</c:v>
                </c:pt>
                <c:pt idx="7">
                  <c:v>89</c:v>
                </c:pt>
                <c:pt idx="8">
                  <c:v>88</c:v>
                </c:pt>
                <c:pt idx="9">
                  <c:v>87</c:v>
                </c:pt>
                <c:pt idx="10">
                  <c:v>85</c:v>
                </c:pt>
                <c:pt idx="11">
                  <c:v>80</c:v>
                </c:pt>
                <c:pt idx="12">
                  <c:v>79</c:v>
                </c:pt>
                <c:pt idx="13">
                  <c:v>77</c:v>
                </c:pt>
              </c:numCache>
            </c:numRef>
          </c:val>
          <c:extLst>
            <c:ext xmlns:c16="http://schemas.microsoft.com/office/drawing/2014/chart" uri="{C3380CC4-5D6E-409C-BE32-E72D297353CC}">
              <c16:uniqueId val="{00000000-854E-4F16-925D-32942652F1A9}"/>
            </c:ext>
          </c:extLst>
        </c:ser>
        <c:dLbls>
          <c:dLblPos val="outEnd"/>
          <c:showLegendKey val="0"/>
          <c:showVal val="1"/>
          <c:showCatName val="0"/>
          <c:showSerName val="0"/>
          <c:showPercent val="0"/>
          <c:showBubbleSize val="0"/>
        </c:dLbls>
        <c:gapWidth val="219"/>
        <c:overlap val="-27"/>
        <c:axId val="2050955168"/>
        <c:axId val="1824086992"/>
      </c:barChart>
      <c:catAx>
        <c:axId val="20509551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86992"/>
        <c:crosses val="autoZero"/>
        <c:auto val="1"/>
        <c:lblAlgn val="ctr"/>
        <c:lblOffset val="100"/>
        <c:noMultiLvlLbl val="0"/>
      </c:catAx>
      <c:valAx>
        <c:axId val="1824086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Marks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95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9</xdr:col>
      <xdr:colOff>373224</xdr:colOff>
      <xdr:row>12</xdr:row>
      <xdr:rowOff>19764</xdr:rowOff>
    </xdr:from>
    <xdr:to>
      <xdr:col>12</xdr:col>
      <xdr:colOff>382642</xdr:colOff>
      <xdr:row>18</xdr:row>
      <xdr:rowOff>142697</xdr:rowOff>
    </xdr:to>
    <mc:AlternateContent xmlns:mc="http://schemas.openxmlformats.org/markup-compatibility/2006">
      <mc:Choice xmlns:sle15="http://schemas.microsoft.com/office/drawing/2012/slicer" Requires="sle15">
        <xdr:graphicFrame macro="">
          <xdr:nvGraphicFramePr>
            <xdr:cNvPr id="2" name="Gender">
              <a:extLst>
                <a:ext uri="{FF2B5EF4-FFF2-40B4-BE49-F238E27FC236}">
                  <a16:creationId xmlns:a16="http://schemas.microsoft.com/office/drawing/2014/main" id="{5D10CBB3-E3D7-D2A7-4BA9-E644836F8C5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964685" y="2374258"/>
              <a:ext cx="1828800" cy="123596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357169</xdr:colOff>
      <xdr:row>2</xdr:row>
      <xdr:rowOff>3711</xdr:rowOff>
    </xdr:from>
    <xdr:to>
      <xdr:col>12</xdr:col>
      <xdr:colOff>366587</xdr:colOff>
      <xdr:row>11</xdr:row>
      <xdr:rowOff>78483</xdr:rowOff>
    </xdr:to>
    <mc:AlternateContent xmlns:mc="http://schemas.openxmlformats.org/markup-compatibility/2006">
      <mc:Choice xmlns:sle15="http://schemas.microsoft.com/office/drawing/2012/slicer" Requires="sle15">
        <xdr:graphicFrame macro="">
          <xdr:nvGraphicFramePr>
            <xdr:cNvPr id="3" name="House">
              <a:extLst>
                <a:ext uri="{FF2B5EF4-FFF2-40B4-BE49-F238E27FC236}">
                  <a16:creationId xmlns:a16="http://schemas.microsoft.com/office/drawing/2014/main" id="{D9E1A443-CEE8-EE1F-EB48-BB9C043A9734}"/>
                </a:ext>
              </a:extLst>
            </xdr:cNvPr>
            <xdr:cNvGraphicFramePr/>
          </xdr:nvGraphicFramePr>
          <xdr:xfrm>
            <a:off x="0" y="0"/>
            <a:ext cx="0" cy="0"/>
          </xdr:xfrm>
          <a:graphic>
            <a:graphicData uri="http://schemas.microsoft.com/office/drawing/2010/slicer">
              <sle:slicer xmlns:sle="http://schemas.microsoft.com/office/drawing/2010/slicer" name="House"/>
            </a:graphicData>
          </a:graphic>
        </xdr:graphicFrame>
      </mc:Choice>
      <mc:Fallback>
        <xdr:sp macro="" textlink="">
          <xdr:nvSpPr>
            <xdr:cNvPr id="0" name=""/>
            <xdr:cNvSpPr>
              <a:spLocks noTextEdit="1"/>
            </xdr:cNvSpPr>
          </xdr:nvSpPr>
          <xdr:spPr>
            <a:xfrm>
              <a:off x="7948630" y="453205"/>
              <a:ext cx="1828800" cy="1794267"/>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517525</xdr:colOff>
      <xdr:row>2</xdr:row>
      <xdr:rowOff>203200</xdr:rowOff>
    </xdr:from>
    <xdr:to>
      <xdr:col>8</xdr:col>
      <xdr:colOff>330200</xdr:colOff>
      <xdr:row>15</xdr:row>
      <xdr:rowOff>25400</xdr:rowOff>
    </xdr:to>
    <xdr:graphicFrame macro="">
      <xdr:nvGraphicFramePr>
        <xdr:cNvPr id="2" name="Chart 1">
          <a:extLst>
            <a:ext uri="{FF2B5EF4-FFF2-40B4-BE49-F238E27FC236}">
              <a16:creationId xmlns:a16="http://schemas.microsoft.com/office/drawing/2014/main" id="{D8874403-600C-CC84-4E67-CEF4B2EE2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nika banait" refreshedDate="46297.938090046293" createdVersion="8" refreshedVersion="8" minRefreshableVersion="3" recordCount="14" xr:uid="{C0A0F650-1DD3-47CC-A23F-DCC35A77F1A4}">
  <cacheSource type="worksheet">
    <worksheetSource name="Table46"/>
  </cacheSource>
  <cacheFields count="9">
    <cacheField name="Name" numFmtId="0">
      <sharedItems/>
    </cacheField>
    <cacheField name="Gender" numFmtId="0">
      <sharedItems count="2">
        <s v="M"/>
        <s v="F"/>
      </sharedItems>
    </cacheField>
    <cacheField name="Age" numFmtId="0">
      <sharedItems containsSemiMixedTypes="0" containsString="0" containsNumber="1" containsInteger="1" minValue="11" maxValue="17"/>
    </cacheField>
    <cacheField name="Class" numFmtId="0">
      <sharedItems containsSemiMixedTypes="0" containsString="0" containsNumber="1" containsInteger="1" minValue="5" maxValue="10"/>
    </cacheField>
    <cacheField name="House" numFmtId="0">
      <sharedItems count="4">
        <s v="Bhoomi"/>
        <s v="Agni"/>
        <s v="Vayu"/>
        <s v="Jal"/>
      </sharedItems>
    </cacheField>
    <cacheField name="Unit test 1" numFmtId="0">
      <sharedItems containsSemiMixedTypes="0" containsString="0" containsNumber="1" containsInteger="1" minValue="70" maxValue="91"/>
    </cacheField>
    <cacheField name="Unit test 2" numFmtId="0">
      <sharedItems containsSemiMixedTypes="0" containsString="0" containsNumber="1" containsInteger="1" minValue="75" maxValue="96"/>
    </cacheField>
    <cacheField name="Final test" numFmtId="0">
      <sharedItems containsSemiMixedTypes="0" containsString="0" containsNumber="1" containsInteger="1" minValue="77" maxValue="120"/>
    </cacheField>
    <cacheField name="Half year score"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Abhimanyu"/>
    <x v="0"/>
    <n v="16"/>
    <n v="10"/>
    <x v="0"/>
    <n v="84"/>
    <n v="79"/>
    <n v="120"/>
    <m/>
  </r>
  <r>
    <s v="Vrinda"/>
    <x v="1"/>
    <n v="14"/>
    <n v="8"/>
    <x v="1"/>
    <n v="91"/>
    <n v="96"/>
    <n v="100"/>
    <m/>
  </r>
  <r>
    <s v="Gopi"/>
    <x v="1"/>
    <n v="16"/>
    <n v="10"/>
    <x v="1"/>
    <n v="88"/>
    <n v="92"/>
    <n v="96"/>
    <m/>
  </r>
  <r>
    <s v="Keshav"/>
    <x v="0"/>
    <n v="15"/>
    <n v="9"/>
    <x v="1"/>
    <n v="87"/>
    <n v="89"/>
    <n v="96"/>
    <m/>
  </r>
  <r>
    <s v="Lalita"/>
    <x v="1"/>
    <n v="17"/>
    <n v="10"/>
    <x v="2"/>
    <n v="70"/>
    <n v="90"/>
    <n v="92"/>
    <m/>
  </r>
  <r>
    <s v="Arjun"/>
    <x v="0"/>
    <n v="11"/>
    <n v="5"/>
    <x v="2"/>
    <n v="82"/>
    <n v="83"/>
    <n v="91"/>
    <m/>
  </r>
  <r>
    <s v="Indu"/>
    <x v="1"/>
    <n v="14"/>
    <n v="8"/>
    <x v="2"/>
    <n v="90"/>
    <n v="86"/>
    <n v="89"/>
    <m/>
  </r>
  <r>
    <s v="Madhav"/>
    <x v="0"/>
    <n v="12"/>
    <n v="7"/>
    <x v="3"/>
    <n v="86"/>
    <n v="92"/>
    <n v="89"/>
    <m/>
  </r>
  <r>
    <s v="Champa"/>
    <x v="1"/>
    <n v="15"/>
    <n v="8"/>
    <x v="3"/>
    <n v="81"/>
    <n v="78"/>
    <n v="88"/>
    <m/>
  </r>
  <r>
    <s v="Sudevi"/>
    <x v="1"/>
    <n v="16"/>
    <n v="10"/>
    <x v="3"/>
    <n v="81"/>
    <n v="80"/>
    <n v="87"/>
    <m/>
  </r>
  <r>
    <s v="Visakha"/>
    <x v="1"/>
    <n v="16"/>
    <n v="10"/>
    <x v="0"/>
    <n v="70"/>
    <n v="87"/>
    <n v="85"/>
    <m/>
  </r>
  <r>
    <s v="Hari"/>
    <x v="0"/>
    <n v="16"/>
    <n v="10"/>
    <x v="0"/>
    <n v="82"/>
    <n v="81"/>
    <n v="80"/>
    <m/>
  </r>
  <r>
    <s v="Gopal"/>
    <x v="0"/>
    <n v="14"/>
    <n v="8"/>
    <x v="0"/>
    <n v="70"/>
    <n v="75"/>
    <n v="79"/>
    <m/>
  </r>
  <r>
    <s v="RNM"/>
    <x v="0"/>
    <n v="16"/>
    <n v="10"/>
    <x v="1"/>
    <n v="86"/>
    <n v="81"/>
    <n v="7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EFEBD7-22F9-47A3-808C-AAB9899C7C73}"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showAll="0"/>
    <pivotField axis="axisRow" showAll="0" includeNewItemsInFilter="1" avgSubtotal="1">
      <items count="3">
        <item x="1"/>
        <item x="0"/>
        <item t="avg"/>
      </items>
    </pivotField>
    <pivotField showAll="0"/>
    <pivotField showAll="0"/>
    <pivotField showAll="0"/>
    <pivotField showAll="0"/>
    <pivotField showAll="0"/>
    <pivotField dataField="1" showAll="0"/>
    <pivotField showAll="0"/>
  </pivotFields>
  <rowFields count="1">
    <field x="1"/>
  </rowFields>
  <rowItems count="3">
    <i>
      <x/>
    </i>
    <i>
      <x v="1"/>
    </i>
    <i t="grand">
      <x/>
    </i>
  </rowItems>
  <colItems count="1">
    <i/>
  </colItems>
  <dataFields count="1">
    <dataField name="Average of Final test" fld="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83E229-A74D-457A-8871-87A6F50D93FF}" name="PivotTable5" cacheId="2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11" firstHeaderRow="1" firstDataRow="1" firstDataCol="2"/>
  <pivotFields count="9">
    <pivotField compact="0" outline="0" showAll="0" defaultSubtotal="0"/>
    <pivotField axis="axisRow" compact="0" outline="0" showAll="0" defaultSubtotal="0">
      <items count="2">
        <item x="1"/>
        <item x="0"/>
      </items>
    </pivotField>
    <pivotField compact="0" outline="0" showAll="0" defaultSubtotal="0"/>
    <pivotField compact="0" outline="0" showAll="0" defaultSubtotal="0"/>
    <pivotField axis="axisRow" compact="0" outline="0" showAll="0" defaultSubtotal="0">
      <items count="4">
        <item x="1"/>
        <item x="0"/>
        <item x="3"/>
        <item x="2"/>
      </items>
    </pivotField>
    <pivotField compact="0" outline="0" showAll="0" defaultSubtotal="0"/>
    <pivotField compact="0" outline="0" showAll="0" defaultSubtotal="0"/>
    <pivotField dataField="1" compact="0" outline="0" showAll="0" defaultSubtotal="0"/>
    <pivotField compact="0" outline="0" subtotalTop="0" showAll="0" defaultSubtotal="0"/>
  </pivotFields>
  <rowFields count="2">
    <field x="4"/>
    <field x="1"/>
  </rowFields>
  <rowItems count="8">
    <i>
      <x/>
      <x/>
    </i>
    <i r="1">
      <x v="1"/>
    </i>
    <i>
      <x v="1"/>
      <x/>
    </i>
    <i r="1">
      <x v="1"/>
    </i>
    <i>
      <x v="2"/>
      <x/>
    </i>
    <i r="1">
      <x v="1"/>
    </i>
    <i>
      <x v="3"/>
      <x/>
    </i>
    <i r="1">
      <x v="1"/>
    </i>
  </rowItems>
  <colItems count="1">
    <i/>
  </colItems>
  <dataFields count="1">
    <dataField name="Sum of Final tes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C0C1DE3-5A03-43D5-92F9-39E7B518FB97}" sourceName="Gender">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e" xr10:uid="{9F9C32FC-0DB5-4F9B-8BAF-0C04D0964F14}" sourceName="House">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4203F2-C68E-4525-95C7-EE3F4EBC5974}" cache="Slicer_Gender" caption="Gender" rowHeight="241300"/>
  <slicer name="House" xr10:uid="{AC2CAE9D-DE36-4971-83A5-4E1E41F62505}" cache="Slicer_House" caption="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F756D2-83F7-4E43-87B0-2435C558348F}" name="Table3" displayName="Table3" ref="D5:D8" totalsRowShown="0" headerRowDxfId="24">
  <autoFilter ref="D5:D8" xr:uid="{4FF756D2-83F7-4E43-87B0-2435C558348F}"/>
  <tableColumns count="1">
    <tableColumn id="1" xr3:uid="{BDF39A9D-50E2-409C-A54C-E8101B213F28}" name="Gra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4CB0CD-F692-44D0-B105-1ED327C03EEA}" name="Table2" displayName="Table2" ref="A3:I18" totalsRowShown="0" headerRowDxfId="25" dataDxfId="26" headerRowBorderDxfId="36" tableBorderDxfId="37">
  <autoFilter ref="A3:I18" xr:uid="{5A4CB0CD-F692-44D0-B105-1ED327C03EEA}"/>
  <tableColumns count="9">
    <tableColumn id="1" xr3:uid="{23C410FB-B350-49F2-956F-F8B8B8192CEC}" name="Name" dataDxfId="35"/>
    <tableColumn id="2" xr3:uid="{AA42C02C-45A3-41E5-8951-7781B55517A1}" name="Gender" dataDxfId="34"/>
    <tableColumn id="3" xr3:uid="{28054730-AF71-496F-B29D-85353F5BE48C}" name="Age" dataDxfId="33"/>
    <tableColumn id="4" xr3:uid="{B717FB2E-AD63-4116-999B-724142B73F24}" name="Class" dataDxfId="32"/>
    <tableColumn id="5" xr3:uid="{9E056D40-52CA-49CB-8479-9BDA8D4F14B8}" name="House" dataDxfId="31"/>
    <tableColumn id="6" xr3:uid="{B610B6F3-82D6-4049-A4D4-5E2541572DE4}" name="Unit test 1" dataDxfId="30"/>
    <tableColumn id="7" xr3:uid="{6F856214-3315-40E0-9F53-6CA3A7B1A55F}" name="Unit test 2" dataDxfId="29"/>
    <tableColumn id="8" xr3:uid="{50ABFE35-7D6B-4183-ADCC-0DE409E73837}" name="Final test" dataDxfId="28"/>
    <tableColumn id="9" xr3:uid="{5EAD3AB8-748C-4025-B723-60DE56F15BA0}" name="Gmail" dataDxfId="27" dataCellStyle="Hyperlin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9BA231-40BD-4E36-ADF0-6CDB468652FE}" name="Table4" displayName="Table4" ref="A3:H17" totalsRowShown="0" headerRowDxfId="14" dataDxfId="15" tableBorderDxfId="23">
  <tableColumns count="8">
    <tableColumn id="1" xr3:uid="{14F6E5DC-1C0D-40C2-B883-E9390A3ECE25}" name="Name"/>
    <tableColumn id="2" xr3:uid="{3011B8CC-AB7F-48BF-9E3E-639794AD38CD}" name="Gender" dataDxfId="22"/>
    <tableColumn id="3" xr3:uid="{77FD1208-8C63-4F6E-88AE-7B0697A16F9C}" name="Age" dataDxfId="21"/>
    <tableColumn id="4" xr3:uid="{4F03EC7D-7410-4772-B5A4-7A91FD3541FD}" name="Class" dataDxfId="20"/>
    <tableColumn id="5" xr3:uid="{B0368225-9E53-438E-89A9-000D0B6C6A3B}" name="House" dataDxfId="19"/>
    <tableColumn id="6" xr3:uid="{48630F79-2387-482E-A52D-38480575EAB6}" name="Unit test 1" dataDxfId="18"/>
    <tableColumn id="7" xr3:uid="{92D96975-E7E7-4280-9796-9FFEFFE5EF13}" name="Unit test 2" dataDxfId="17"/>
    <tableColumn id="8" xr3:uid="{83D64C74-71F7-4753-8416-E3939AFC9D86}" name="Final test" dataDxf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BC5CEA-2CDA-49C5-9199-33D64378EC4A}" name="Table46" displayName="Table46" ref="A3:I17" totalsRowShown="0" headerRowDxfId="10" dataDxfId="9" tableBorderDxfId="8">
  <tableColumns count="9">
    <tableColumn id="1" xr3:uid="{88C3F7E7-4634-4A0E-BB27-0F488536FE3E}" name="Name"/>
    <tableColumn id="2" xr3:uid="{8B6CC202-7EE2-41AB-ABC5-FE43331B9C0C}" name="Gender" dataDxfId="7"/>
    <tableColumn id="3" xr3:uid="{372C9B86-46F8-483A-91BE-04B2AF9F49C8}" name="Age" dataDxfId="6"/>
    <tableColumn id="4" xr3:uid="{CC62F656-730B-484D-B466-4D9DB24469D9}" name="Class" dataDxfId="5"/>
    <tableColumn id="5" xr3:uid="{9A43B344-E207-4ED7-A03D-BC623672A996}" name="House" dataDxfId="4"/>
    <tableColumn id="6" xr3:uid="{C3FFF81C-227C-450C-929D-337FF612F581}" name="Unit test 1" dataDxfId="3"/>
    <tableColumn id="7" xr3:uid="{ADD03547-DBD1-4A33-82F4-6BF0D101F53B}" name="Unit test 2" dataDxfId="2"/>
    <tableColumn id="8" xr3:uid="{E4D1A23E-9DB4-4930-BB49-63B430BB7EAE}" name="Final test" dataDxfId="1"/>
    <tableColumn id="9" xr3:uid="{4655D42D-21CF-4349-A3D4-52D6B0C2D857}" name="Half year 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hyperlink" Target="mailto:Indu@mail.com" TargetMode="External"/><Relationship Id="rId13" Type="http://schemas.openxmlformats.org/officeDocument/2006/relationships/hyperlink" Target="mailto:Arjun@mail.com" TargetMode="External"/><Relationship Id="rId3" Type="http://schemas.openxmlformats.org/officeDocument/2006/relationships/hyperlink" Target="mailto:Sudevi@mail.com" TargetMode="External"/><Relationship Id="rId7" Type="http://schemas.openxmlformats.org/officeDocument/2006/relationships/hyperlink" Target="mailto:Keshav@mail.com" TargetMode="External"/><Relationship Id="rId12" Type="http://schemas.openxmlformats.org/officeDocument/2006/relationships/hyperlink" Target="mailto:Champa@mail.com" TargetMode="External"/><Relationship Id="rId2" Type="http://schemas.openxmlformats.org/officeDocument/2006/relationships/hyperlink" Target="mailto:Visakha@mail.com" TargetMode="External"/><Relationship Id="rId1" Type="http://schemas.openxmlformats.org/officeDocument/2006/relationships/hyperlink" Target="mailto:Vrinda@mail.com" TargetMode="External"/><Relationship Id="rId6" Type="http://schemas.openxmlformats.org/officeDocument/2006/relationships/hyperlink" Target="mailto:Lalita@mail.com" TargetMode="External"/><Relationship Id="rId11" Type="http://schemas.openxmlformats.org/officeDocument/2006/relationships/hyperlink" Target="mailto:Gopal@mail.com" TargetMode="External"/><Relationship Id="rId5" Type="http://schemas.openxmlformats.org/officeDocument/2006/relationships/hyperlink" Target="mailto:Madhav@mail.com" TargetMode="External"/><Relationship Id="rId10" Type="http://schemas.openxmlformats.org/officeDocument/2006/relationships/hyperlink" Target="mailto:Gopi@mail.com" TargetMode="External"/><Relationship Id="rId4" Type="http://schemas.openxmlformats.org/officeDocument/2006/relationships/hyperlink" Target="mailto:RNM@mail.com" TargetMode="External"/><Relationship Id="rId9" Type="http://schemas.openxmlformats.org/officeDocument/2006/relationships/hyperlink" Target="mailto:Hari@mail.com" TargetMode="External"/><Relationship Id="rId14" Type="http://schemas.openxmlformats.org/officeDocument/2006/relationships/hyperlink" Target="mailto:Abhimanyu@mail.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Indu@mail.com" TargetMode="External"/><Relationship Id="rId13" Type="http://schemas.openxmlformats.org/officeDocument/2006/relationships/hyperlink" Target="mailto:Arjun@mail.com" TargetMode="External"/><Relationship Id="rId3" Type="http://schemas.openxmlformats.org/officeDocument/2006/relationships/hyperlink" Target="mailto:Sudevi@mail.com" TargetMode="External"/><Relationship Id="rId7" Type="http://schemas.openxmlformats.org/officeDocument/2006/relationships/hyperlink" Target="mailto:Keshav@mail.com" TargetMode="External"/><Relationship Id="rId12" Type="http://schemas.openxmlformats.org/officeDocument/2006/relationships/hyperlink" Target="mailto:Champa@mail.com" TargetMode="External"/><Relationship Id="rId17" Type="http://schemas.microsoft.com/office/2007/relationships/slicer" Target="../slicers/slicer1.xml"/><Relationship Id="rId2" Type="http://schemas.openxmlformats.org/officeDocument/2006/relationships/hyperlink" Target="mailto:Visakha@mail.com" TargetMode="External"/><Relationship Id="rId16" Type="http://schemas.openxmlformats.org/officeDocument/2006/relationships/table" Target="../tables/table2.xml"/><Relationship Id="rId1" Type="http://schemas.openxmlformats.org/officeDocument/2006/relationships/hyperlink" Target="mailto:Vrinda@mail.com" TargetMode="External"/><Relationship Id="rId6" Type="http://schemas.openxmlformats.org/officeDocument/2006/relationships/hyperlink" Target="mailto:Lalita@mail.com" TargetMode="External"/><Relationship Id="rId11" Type="http://schemas.openxmlformats.org/officeDocument/2006/relationships/hyperlink" Target="mailto:Gopal@mail.com" TargetMode="External"/><Relationship Id="rId5" Type="http://schemas.openxmlformats.org/officeDocument/2006/relationships/hyperlink" Target="mailto:Madhav@mail.com" TargetMode="External"/><Relationship Id="rId15" Type="http://schemas.openxmlformats.org/officeDocument/2006/relationships/drawing" Target="../drawings/drawing1.xml"/><Relationship Id="rId10" Type="http://schemas.openxmlformats.org/officeDocument/2006/relationships/hyperlink" Target="mailto:Gopi@mail.com" TargetMode="External"/><Relationship Id="rId4" Type="http://schemas.openxmlformats.org/officeDocument/2006/relationships/hyperlink" Target="mailto:RNM@mail.com" TargetMode="External"/><Relationship Id="rId9" Type="http://schemas.openxmlformats.org/officeDocument/2006/relationships/hyperlink" Target="mailto:Hari@mail.com" TargetMode="External"/><Relationship Id="rId14" Type="http://schemas.openxmlformats.org/officeDocument/2006/relationships/hyperlink" Target="mailto:Abhimanyu@mail.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14DF9-CAD1-453D-9425-344FFE04B0B9}">
  <dimension ref="A1:J11"/>
  <sheetViews>
    <sheetView zoomScale="111" workbookViewId="0">
      <selection activeCell="N5" sqref="N5"/>
    </sheetView>
  </sheetViews>
  <sheetFormatPr defaultRowHeight="14.5" x14ac:dyDescent="0.35"/>
  <cols>
    <col min="1" max="1" width="8.7265625" style="1"/>
    <col min="2" max="2" width="9.54296875" style="1" bestFit="1" customWidth="1"/>
    <col min="3" max="3" width="9.26953125" style="1" bestFit="1" customWidth="1"/>
    <col min="4" max="4" width="17" style="1" bestFit="1" customWidth="1"/>
    <col min="5" max="9" width="8.7265625" style="1"/>
    <col min="10" max="10" width="12.54296875" bestFit="1" customWidth="1"/>
  </cols>
  <sheetData>
    <row r="1" spans="1:10" x14ac:dyDescent="0.35">
      <c r="A1" s="11" t="s">
        <v>18</v>
      </c>
      <c r="B1" s="12"/>
      <c r="C1" s="12"/>
      <c r="D1" s="12"/>
      <c r="E1" s="12"/>
      <c r="F1" s="12"/>
      <c r="G1" s="12"/>
      <c r="H1" s="12"/>
      <c r="I1" s="12"/>
      <c r="J1" s="13"/>
    </row>
    <row r="2" spans="1:10" ht="15" thickBot="1" x14ac:dyDescent="0.4">
      <c r="A2" s="14"/>
      <c r="B2" s="15"/>
      <c r="C2" s="15"/>
      <c r="D2" s="15"/>
      <c r="E2" s="15"/>
      <c r="F2" s="15"/>
      <c r="G2" s="15"/>
      <c r="H2" s="15"/>
      <c r="I2" s="15"/>
      <c r="J2" s="16"/>
    </row>
    <row r="4" spans="1:10" x14ac:dyDescent="0.35">
      <c r="A4" s="2" t="s">
        <v>0</v>
      </c>
      <c r="B4" s="2" t="s">
        <v>1</v>
      </c>
      <c r="C4" s="2" t="s">
        <v>2</v>
      </c>
      <c r="D4" s="2" t="s">
        <v>3</v>
      </c>
      <c r="E4" s="2" t="s">
        <v>4</v>
      </c>
      <c r="F4" s="2" t="s">
        <v>4</v>
      </c>
      <c r="G4" s="2" t="s">
        <v>4</v>
      </c>
      <c r="H4" s="2" t="s">
        <v>5</v>
      </c>
      <c r="I4" s="2" t="s">
        <v>6</v>
      </c>
      <c r="J4" s="3" t="s">
        <v>7</v>
      </c>
    </row>
    <row r="5" spans="1:10" x14ac:dyDescent="0.35">
      <c r="A5" s="4">
        <v>1</v>
      </c>
      <c r="B5" s="4" t="s">
        <v>8</v>
      </c>
      <c r="C5" s="4" t="s">
        <v>13</v>
      </c>
      <c r="D5" s="5">
        <v>42030</v>
      </c>
      <c r="E5" s="4">
        <v>1500</v>
      </c>
      <c r="F5" s="4">
        <v>1501</v>
      </c>
      <c r="G5" s="4">
        <v>1502</v>
      </c>
      <c r="H5" s="4">
        <f>SUM(E5,F5,G5,)</f>
        <v>4503</v>
      </c>
      <c r="I5" s="4">
        <f>AVERAGE(E5,F5,G5)</f>
        <v>1501</v>
      </c>
      <c r="J5" s="6" t="str">
        <f>_xlfn.CONCAT(B5," ",C5)</f>
        <v>RNM KUMAR</v>
      </c>
    </row>
    <row r="6" spans="1:10" x14ac:dyDescent="0.35">
      <c r="A6" s="4">
        <v>2</v>
      </c>
      <c r="B6" s="4" t="s">
        <v>9</v>
      </c>
      <c r="C6" s="4" t="s">
        <v>14</v>
      </c>
      <c r="D6" s="5">
        <v>42954</v>
      </c>
      <c r="E6" s="4">
        <v>1700</v>
      </c>
      <c r="F6" s="4">
        <v>1701</v>
      </c>
      <c r="G6" s="4">
        <v>1702</v>
      </c>
      <c r="H6" s="4">
        <f>SUM(E6,F6,G6)</f>
        <v>5103</v>
      </c>
      <c r="I6" s="4">
        <f>AVERAGE(E6,F6,G6)</f>
        <v>1701</v>
      </c>
      <c r="J6" s="6" t="str">
        <f>_xlfn.CONCAT(B6," ",C6)</f>
        <v>GOPAL VERMA</v>
      </c>
    </row>
    <row r="7" spans="1:10" x14ac:dyDescent="0.35">
      <c r="A7" s="4">
        <v>3</v>
      </c>
      <c r="B7" s="4" t="s">
        <v>10</v>
      </c>
      <c r="C7" s="4" t="s">
        <v>15</v>
      </c>
      <c r="D7" s="5">
        <v>40947</v>
      </c>
      <c r="E7" s="4">
        <v>1800</v>
      </c>
      <c r="F7" s="4">
        <v>1801</v>
      </c>
      <c r="G7" s="4">
        <v>1802</v>
      </c>
      <c r="H7" s="4">
        <f>SUM(E7,F7,G7)</f>
        <v>5403</v>
      </c>
      <c r="I7" s="4">
        <f>AVERAGE(E7,F7,G7)</f>
        <v>1801</v>
      </c>
      <c r="J7" s="6" t="str">
        <f>_xlfn.CONCAT(B7," ",C7)</f>
        <v>JOSEPH PAUL;</v>
      </c>
    </row>
    <row r="8" spans="1:10" x14ac:dyDescent="0.35">
      <c r="A8" s="4">
        <v>4</v>
      </c>
      <c r="B8" s="4" t="s">
        <v>11</v>
      </c>
      <c r="C8" s="4" t="s">
        <v>16</v>
      </c>
      <c r="D8" s="5">
        <v>43402</v>
      </c>
      <c r="E8" s="4">
        <v>1200</v>
      </c>
      <c r="F8" s="4">
        <v>1201</v>
      </c>
      <c r="G8" s="4">
        <v>1202</v>
      </c>
      <c r="H8" s="4">
        <f>SUM(E8,F8,G8)</f>
        <v>3603</v>
      </c>
      <c r="I8" s="4">
        <f>AVERAGE(E8,F8,G8)</f>
        <v>1201</v>
      </c>
      <c r="J8" s="6" t="str">
        <f>_xlfn.CONCAT(B8," ",C8)</f>
        <v>HARI SINGH</v>
      </c>
    </row>
    <row r="9" spans="1:10" x14ac:dyDescent="0.35">
      <c r="A9" s="4">
        <v>5</v>
      </c>
      <c r="B9" s="4" t="s">
        <v>12</v>
      </c>
      <c r="C9" s="4" t="s">
        <v>17</v>
      </c>
      <c r="D9" s="5">
        <v>44077</v>
      </c>
      <c r="E9" s="4">
        <v>2000</v>
      </c>
      <c r="F9" s="4">
        <v>2001</v>
      </c>
      <c r="G9" s="4">
        <v>2002</v>
      </c>
      <c r="H9" s="4">
        <f>SUM(E9,F9,G9)</f>
        <v>6003</v>
      </c>
      <c r="I9" s="4">
        <f>AVERAGE(E9,F9,G9)</f>
        <v>2001</v>
      </c>
      <c r="J9" s="6" t="str">
        <f>_xlfn.CONCAT(B9," ",C9)</f>
        <v>RAJA RAM</v>
      </c>
    </row>
    <row r="10" spans="1:10" x14ac:dyDescent="0.35">
      <c r="A10" s="4"/>
      <c r="B10" s="4"/>
      <c r="C10" s="4"/>
      <c r="D10" s="4"/>
      <c r="E10" s="4"/>
      <c r="F10" s="4"/>
      <c r="G10" s="4"/>
      <c r="H10" s="4"/>
      <c r="I10" s="4"/>
      <c r="J10" s="6"/>
    </row>
    <row r="11" spans="1:10" x14ac:dyDescent="0.35">
      <c r="A11"/>
      <c r="B11"/>
      <c r="C11"/>
      <c r="D11"/>
      <c r="E11"/>
      <c r="F11"/>
      <c r="G11"/>
      <c r="H11"/>
      <c r="I11"/>
    </row>
  </sheetData>
  <dataConsolidate/>
  <mergeCells count="1">
    <mergeCell ref="A1:J2"/>
  </mergeCells>
  <conditionalFormatting sqref="H12:H1048576 H3:H10">
    <cfRule type="colorScale" priority="2">
      <colorScale>
        <cfvo type="min"/>
        <cfvo type="percentile" val="50"/>
        <cfvo type="max"/>
        <color rgb="FFF8696B"/>
        <color rgb="FFFFEB84"/>
        <color rgb="FF63BE7B"/>
      </colorScale>
    </cfRule>
  </conditionalFormatting>
  <conditionalFormatting sqref="J12:J1048576 J3:J10">
    <cfRule type="duplicateValues" dxfId="1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25E58-DC73-46C0-9FC8-CE6CB3A7C510}">
  <dimension ref="B3:G14"/>
  <sheetViews>
    <sheetView workbookViewId="0">
      <selection activeCell="F4" sqref="F4"/>
    </sheetView>
  </sheetViews>
  <sheetFormatPr defaultRowHeight="14.5" x14ac:dyDescent="0.35"/>
  <cols>
    <col min="3" max="3" width="9.90625" bestFit="1" customWidth="1"/>
    <col min="4" max="4" width="10.6328125" bestFit="1" customWidth="1"/>
  </cols>
  <sheetData>
    <row r="3" spans="2:7" x14ac:dyDescent="0.35">
      <c r="B3" t="s">
        <v>42</v>
      </c>
      <c r="C3" t="s">
        <v>23</v>
      </c>
      <c r="D3" t="s">
        <v>35</v>
      </c>
      <c r="E3" t="s">
        <v>53</v>
      </c>
    </row>
    <row r="4" spans="2:7" x14ac:dyDescent="0.35">
      <c r="B4" t="s">
        <v>43</v>
      </c>
      <c r="C4" t="s">
        <v>24</v>
      </c>
      <c r="D4" t="s">
        <v>36</v>
      </c>
      <c r="E4" t="s">
        <v>54</v>
      </c>
    </row>
    <row r="5" spans="2:7" x14ac:dyDescent="0.35">
      <c r="B5" t="s">
        <v>44</v>
      </c>
      <c r="C5" t="s">
        <v>25</v>
      </c>
      <c r="D5" t="s">
        <v>37</v>
      </c>
      <c r="E5" t="s">
        <v>55</v>
      </c>
    </row>
    <row r="6" spans="2:7" x14ac:dyDescent="0.35">
      <c r="B6" t="s">
        <v>45</v>
      </c>
      <c r="C6" t="s">
        <v>26</v>
      </c>
      <c r="D6" t="s">
        <v>38</v>
      </c>
      <c r="E6" t="s">
        <v>56</v>
      </c>
    </row>
    <row r="7" spans="2:7" x14ac:dyDescent="0.35">
      <c r="B7" t="s">
        <v>27</v>
      </c>
      <c r="C7" t="s">
        <v>27</v>
      </c>
      <c r="D7" t="s">
        <v>39</v>
      </c>
      <c r="E7" t="s">
        <v>57</v>
      </c>
    </row>
    <row r="8" spans="2:7" x14ac:dyDescent="0.35">
      <c r="B8" t="s">
        <v>46</v>
      </c>
      <c r="C8" t="s">
        <v>28</v>
      </c>
      <c r="D8" t="s">
        <v>40</v>
      </c>
      <c r="E8" t="s">
        <v>58</v>
      </c>
    </row>
    <row r="9" spans="2:7" x14ac:dyDescent="0.35">
      <c r="B9" t="s">
        <v>47</v>
      </c>
      <c r="C9" t="s">
        <v>29</v>
      </c>
      <c r="D9" t="s">
        <v>41</v>
      </c>
      <c r="E9" t="s">
        <v>59</v>
      </c>
    </row>
    <row r="10" spans="2:7" x14ac:dyDescent="0.35">
      <c r="B10" t="s">
        <v>48</v>
      </c>
      <c r="C10" t="s">
        <v>30</v>
      </c>
    </row>
    <row r="11" spans="2:7" x14ac:dyDescent="0.35">
      <c r="B11" t="s">
        <v>49</v>
      </c>
      <c r="C11" t="s">
        <v>31</v>
      </c>
    </row>
    <row r="12" spans="2:7" x14ac:dyDescent="0.35">
      <c r="B12" t="s">
        <v>50</v>
      </c>
      <c r="C12" t="s">
        <v>32</v>
      </c>
      <c r="G12" s="10"/>
    </row>
    <row r="13" spans="2:7" x14ac:dyDescent="0.35">
      <c r="B13" t="s">
        <v>51</v>
      </c>
      <c r="C13" t="s">
        <v>33</v>
      </c>
    </row>
    <row r="14" spans="2:7" x14ac:dyDescent="0.35">
      <c r="B14" t="s">
        <v>52</v>
      </c>
      <c r="C14" t="s">
        <v>34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E3C5C-607E-4E36-B3F5-B401794C9B29}">
  <dimension ref="A2:D7"/>
  <sheetViews>
    <sheetView workbookViewId="0">
      <selection activeCell="D8" sqref="D8"/>
    </sheetView>
  </sheetViews>
  <sheetFormatPr defaultRowHeight="14.5" x14ac:dyDescent="0.35"/>
  <cols>
    <col min="4" max="4" width="11.453125" bestFit="1" customWidth="1"/>
  </cols>
  <sheetData>
    <row r="2" spans="1:4" x14ac:dyDescent="0.35">
      <c r="A2" t="s">
        <v>19</v>
      </c>
      <c r="B2" t="s">
        <v>20</v>
      </c>
      <c r="C2" t="s">
        <v>21</v>
      </c>
      <c r="D2" t="s">
        <v>22</v>
      </c>
    </row>
    <row r="3" spans="1:4" x14ac:dyDescent="0.35">
      <c r="A3" s="8">
        <v>1.0333000000000001</v>
      </c>
      <c r="B3" s="7">
        <f>ROUND(A3,0)</f>
        <v>1</v>
      </c>
      <c r="C3" s="8">
        <f>ROUNDUP(A3,0)</f>
        <v>2</v>
      </c>
      <c r="D3" s="8">
        <f>ROUNDDOWN(A3,0)</f>
        <v>1</v>
      </c>
    </row>
    <row r="4" spans="1:4" x14ac:dyDescent="0.35">
      <c r="A4" s="7">
        <v>2.0554999999999999</v>
      </c>
      <c r="B4" s="7">
        <f t="shared" ref="B4:B7" si="0">ROUND(A4,0)</f>
        <v>2</v>
      </c>
      <c r="C4" s="8">
        <f t="shared" ref="C4:C7" si="1">ROUNDUP(A4,0)</f>
        <v>3</v>
      </c>
      <c r="D4" s="8">
        <f t="shared" ref="D4:D7" si="2">ROUNDDOWN(A4,0)</f>
        <v>2</v>
      </c>
    </row>
    <row r="5" spans="1:4" x14ac:dyDescent="0.35">
      <c r="A5" s="8">
        <v>2.9999899999999999</v>
      </c>
      <c r="B5" s="7">
        <f t="shared" si="0"/>
        <v>3</v>
      </c>
      <c r="C5" s="8">
        <f t="shared" si="1"/>
        <v>3</v>
      </c>
      <c r="D5" s="8">
        <f t="shared" si="2"/>
        <v>2</v>
      </c>
    </row>
    <row r="6" spans="1:4" x14ac:dyDescent="0.35">
      <c r="A6" s="7">
        <v>8.9565000000000001</v>
      </c>
      <c r="B6" s="7">
        <f t="shared" si="0"/>
        <v>9</v>
      </c>
      <c r="C6" s="8">
        <f t="shared" si="1"/>
        <v>9</v>
      </c>
      <c r="D6" s="8">
        <f t="shared" si="2"/>
        <v>8</v>
      </c>
    </row>
    <row r="7" spans="1:4" x14ac:dyDescent="0.35">
      <c r="A7" s="9">
        <v>1.33</v>
      </c>
      <c r="B7" s="7">
        <f t="shared" si="0"/>
        <v>1</v>
      </c>
      <c r="C7" s="8">
        <f t="shared" si="1"/>
        <v>2</v>
      </c>
      <c r="D7" s="8">
        <f t="shared" si="2"/>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9D26-A286-421D-8A77-DBCF6742BAA7}">
  <dimension ref="A1:A17"/>
  <sheetViews>
    <sheetView workbookViewId="0"/>
  </sheetViews>
  <sheetFormatPr defaultRowHeight="14.5" x14ac:dyDescent="0.35"/>
  <cols>
    <col min="1" max="1" width="10.36328125" bestFit="1" customWidth="1"/>
  </cols>
  <sheetData>
    <row r="1" spans="1:1" ht="21" x14ac:dyDescent="0.5">
      <c r="A1" s="20" t="s">
        <v>95</v>
      </c>
    </row>
    <row r="3" spans="1:1" ht="18.5" x14ac:dyDescent="0.45">
      <c r="A3" s="21" t="s">
        <v>60</v>
      </c>
    </row>
    <row r="4" spans="1:1" x14ac:dyDescent="0.35">
      <c r="A4" s="4" t="s">
        <v>61</v>
      </c>
    </row>
    <row r="5" spans="1:1" x14ac:dyDescent="0.35">
      <c r="A5" s="4" t="s">
        <v>73</v>
      </c>
    </row>
    <row r="6" spans="1:1" x14ac:dyDescent="0.35">
      <c r="A6" s="4" t="s">
        <v>65</v>
      </c>
    </row>
    <row r="7" spans="1:1" x14ac:dyDescent="0.35">
      <c r="A7" s="4" t="s">
        <v>68</v>
      </c>
    </row>
    <row r="8" spans="1:1" x14ac:dyDescent="0.35">
      <c r="A8" s="4" t="s">
        <v>69</v>
      </c>
    </row>
    <row r="9" spans="1:1" x14ac:dyDescent="0.35">
      <c r="A9" s="4" t="s">
        <v>62</v>
      </c>
    </row>
    <row r="10" spans="1:1" x14ac:dyDescent="0.35">
      <c r="A10" s="4" t="s">
        <v>67</v>
      </c>
    </row>
    <row r="11" spans="1:1" x14ac:dyDescent="0.35">
      <c r="A11" s="4" t="s">
        <v>70</v>
      </c>
    </row>
    <row r="12" spans="1:1" x14ac:dyDescent="0.35">
      <c r="A12" s="4" t="s">
        <v>63</v>
      </c>
    </row>
    <row r="13" spans="1:1" x14ac:dyDescent="0.35">
      <c r="A13" s="4" t="s">
        <v>71</v>
      </c>
    </row>
    <row r="14" spans="1:1" x14ac:dyDescent="0.35">
      <c r="A14" s="4" t="s">
        <v>72</v>
      </c>
    </row>
    <row r="15" spans="1:1" x14ac:dyDescent="0.35">
      <c r="A15" s="4" t="s">
        <v>66</v>
      </c>
    </row>
    <row r="16" spans="1:1" x14ac:dyDescent="0.35">
      <c r="A16" s="4" t="s">
        <v>64</v>
      </c>
    </row>
    <row r="17" spans="1:1" x14ac:dyDescent="0.35">
      <c r="A17" s="4"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B01FA-4CA2-4784-ABBD-4C985CA6146E}">
  <dimension ref="D5:H9"/>
  <sheetViews>
    <sheetView workbookViewId="0">
      <selection activeCell="I7" sqref="I7"/>
    </sheetView>
  </sheetViews>
  <sheetFormatPr defaultRowHeight="14.5" x14ac:dyDescent="0.35"/>
  <sheetData>
    <row r="5" spans="4:8" x14ac:dyDescent="0.35">
      <c r="D5" s="10" t="s">
        <v>100</v>
      </c>
      <c r="G5" s="17" t="s">
        <v>60</v>
      </c>
      <c r="H5" s="17" t="s">
        <v>100</v>
      </c>
    </row>
    <row r="6" spans="4:8" x14ac:dyDescent="0.35">
      <c r="D6" t="s">
        <v>101</v>
      </c>
      <c r="G6" s="6" t="s">
        <v>96</v>
      </c>
      <c r="H6" s="6" t="s">
        <v>102</v>
      </c>
    </row>
    <row r="7" spans="4:8" x14ac:dyDescent="0.35">
      <c r="D7" t="s">
        <v>102</v>
      </c>
      <c r="G7" s="6" t="s">
        <v>97</v>
      </c>
      <c r="H7" s="6" t="s">
        <v>102</v>
      </c>
    </row>
    <row r="8" spans="4:8" x14ac:dyDescent="0.35">
      <c r="D8" t="s">
        <v>103</v>
      </c>
      <c r="G8" s="6" t="s">
        <v>98</v>
      </c>
      <c r="H8" s="6" t="s">
        <v>102</v>
      </c>
    </row>
    <row r="9" spans="4:8" x14ac:dyDescent="0.35">
      <c r="G9" s="6" t="s">
        <v>99</v>
      </c>
      <c r="H9" s="6" t="s">
        <v>102</v>
      </c>
    </row>
  </sheetData>
  <dataValidations count="1">
    <dataValidation type="list" allowBlank="1" showInputMessage="1" showErrorMessage="1" sqref="H6:H9" xr:uid="{98833EDE-5688-4886-9A5F-9CFF8A06D19A}">
      <formula1>$D$5:$D$8</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E46A-D28E-49AF-A83C-5DA5B714888D}">
  <dimension ref="A1:B15"/>
  <sheetViews>
    <sheetView workbookViewId="0">
      <selection activeCell="C1" sqref="C1"/>
    </sheetView>
  </sheetViews>
  <sheetFormatPr defaultRowHeight="14.5" x14ac:dyDescent="0.35"/>
  <cols>
    <col min="1" max="1" width="20" bestFit="1" customWidth="1"/>
  </cols>
  <sheetData>
    <row r="1" spans="1:2" ht="18.5" x14ac:dyDescent="0.45">
      <c r="A1" s="24" t="s">
        <v>87</v>
      </c>
    </row>
    <row r="2" spans="1:2" x14ac:dyDescent="0.35">
      <c r="A2" s="25" t="s">
        <v>61</v>
      </c>
      <c r="B2" t="s">
        <v>104</v>
      </c>
    </row>
    <row r="3" spans="1:2" x14ac:dyDescent="0.35">
      <c r="A3" s="26" t="s">
        <v>73</v>
      </c>
      <c r="B3" t="s">
        <v>104</v>
      </c>
    </row>
    <row r="4" spans="1:2" x14ac:dyDescent="0.35">
      <c r="A4" s="25" t="s">
        <v>65</v>
      </c>
      <c r="B4" t="s">
        <v>104</v>
      </c>
    </row>
    <row r="5" spans="1:2" x14ac:dyDescent="0.35">
      <c r="A5" s="26" t="s">
        <v>68</v>
      </c>
      <c r="B5" t="s">
        <v>104</v>
      </c>
    </row>
    <row r="6" spans="1:2" x14ac:dyDescent="0.35">
      <c r="A6" s="25" t="s">
        <v>69</v>
      </c>
      <c r="B6" t="s">
        <v>104</v>
      </c>
    </row>
    <row r="7" spans="1:2" x14ac:dyDescent="0.35">
      <c r="A7" s="26" t="s">
        <v>62</v>
      </c>
      <c r="B7" t="s">
        <v>104</v>
      </c>
    </row>
    <row r="8" spans="1:2" x14ac:dyDescent="0.35">
      <c r="A8" s="25" t="s">
        <v>67</v>
      </c>
      <c r="B8" t="s">
        <v>104</v>
      </c>
    </row>
    <row r="9" spans="1:2" x14ac:dyDescent="0.35">
      <c r="A9" s="26" t="s">
        <v>70</v>
      </c>
      <c r="B9" t="s">
        <v>104</v>
      </c>
    </row>
    <row r="10" spans="1:2" x14ac:dyDescent="0.35">
      <c r="A10" s="25" t="s">
        <v>63</v>
      </c>
      <c r="B10" t="s">
        <v>104</v>
      </c>
    </row>
    <row r="11" spans="1:2" x14ac:dyDescent="0.35">
      <c r="A11" s="26" t="s">
        <v>71</v>
      </c>
      <c r="B11" t="s">
        <v>104</v>
      </c>
    </row>
    <row r="12" spans="1:2" x14ac:dyDescent="0.35">
      <c r="A12" s="25" t="s">
        <v>72</v>
      </c>
      <c r="B12" t="s">
        <v>104</v>
      </c>
    </row>
    <row r="13" spans="1:2" x14ac:dyDescent="0.35">
      <c r="A13" s="26" t="s">
        <v>66</v>
      </c>
      <c r="B13" t="s">
        <v>104</v>
      </c>
    </row>
    <row r="14" spans="1:2" x14ac:dyDescent="0.35">
      <c r="A14" s="25" t="s">
        <v>64</v>
      </c>
      <c r="B14" t="s">
        <v>104</v>
      </c>
    </row>
    <row r="15" spans="1:2" x14ac:dyDescent="0.35">
      <c r="A15" s="26" t="s">
        <v>8</v>
      </c>
      <c r="B15" t="s">
        <v>104</v>
      </c>
    </row>
  </sheetData>
  <hyperlinks>
    <hyperlink ref="A3" r:id="rId1" display="Vrinda@mail.com" xr:uid="{E58E08AD-ED27-4931-974B-89410DC688A3}"/>
    <hyperlink ref="A12" r:id="rId2" display="Visakha@mail.com" xr:uid="{7B5DC442-4396-4661-919D-67E753C1106F}"/>
    <hyperlink ref="A11" r:id="rId3" display="Sudevi@mail.com" xr:uid="{75A2A342-A4B5-483F-9BBD-113DBCA62938}"/>
    <hyperlink ref="A15" r:id="rId4" display="RNM@mail.com" xr:uid="{07007DAD-9796-4F3E-8A02-BCCB05EE1F16}"/>
    <hyperlink ref="A9" r:id="rId5" display="Madhav@mail.com" xr:uid="{A14DCCF2-E9C3-4C5B-8682-87E27F7BC9F5}"/>
    <hyperlink ref="A6" r:id="rId6" display="Lalita@mail.com" xr:uid="{286FF83C-B32E-4DB9-AEF0-BA73A156EDF1}"/>
    <hyperlink ref="A5" r:id="rId7" display="Keshav@mail.com" xr:uid="{8B4662D6-83E5-474F-A529-7630D1D7686A}"/>
    <hyperlink ref="A8" r:id="rId8" display="Indu@mail.com" xr:uid="{65A1744B-90A4-48DD-9BEF-50493530E09F}"/>
    <hyperlink ref="A13" r:id="rId9" display="Hari@mail.com" xr:uid="{DA6BEDAC-C648-4549-BA76-3C08CDFB6794}"/>
    <hyperlink ref="A4" r:id="rId10" display="Gopi@mail.com" xr:uid="{3A5F01EF-14E2-4200-AAE5-D1409EAE6EFE}"/>
    <hyperlink ref="A14" r:id="rId11" display="Gopal@mail.com" xr:uid="{5911D9D4-5633-4036-B666-6CA7CB3E1AE3}"/>
    <hyperlink ref="A10" r:id="rId12" display="Champa@mail.com" xr:uid="{109CE722-3F81-432E-98B5-E94505131BB5}"/>
    <hyperlink ref="A7" r:id="rId13" display="Arjun@mail.com" xr:uid="{F6C22639-A4B0-4C53-A96D-C91A1BF820C9}"/>
    <hyperlink ref="A2" r:id="rId14" display="Abhimanyu@mail.com" xr:uid="{EED4BFF8-2D94-43EF-A485-6F967798794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6C80-8174-48C1-8124-78E0ABEF44BB}">
  <dimension ref="A1:I17"/>
  <sheetViews>
    <sheetView zoomScale="89" workbookViewId="0">
      <selection activeCell="A3" sqref="A3"/>
    </sheetView>
  </sheetViews>
  <sheetFormatPr defaultRowHeight="14.5" x14ac:dyDescent="0.35"/>
  <cols>
    <col min="1" max="1" width="10.36328125" bestFit="1" customWidth="1"/>
    <col min="2" max="2" width="10.7265625" customWidth="1"/>
    <col min="5" max="5" width="9.453125" customWidth="1"/>
    <col min="6" max="7" width="14.08984375" customWidth="1"/>
    <col min="8" max="8" width="12.54296875" customWidth="1"/>
    <col min="9" max="9" width="20" bestFit="1" customWidth="1"/>
  </cols>
  <sheetData>
    <row r="1" spans="1:9" s="19" customFormat="1" ht="21" x14ac:dyDescent="0.5">
      <c r="A1" s="20" t="s">
        <v>95</v>
      </c>
    </row>
    <row r="3" spans="1:9" ht="18.5" x14ac:dyDescent="0.45">
      <c r="A3" s="23" t="s">
        <v>60</v>
      </c>
      <c r="B3" s="21" t="s">
        <v>74</v>
      </c>
      <c r="C3" s="21" t="s">
        <v>77</v>
      </c>
      <c r="D3" s="21" t="s">
        <v>78</v>
      </c>
      <c r="E3" s="21" t="s">
        <v>79</v>
      </c>
      <c r="F3" s="22" t="s">
        <v>84</v>
      </c>
      <c r="G3" s="21" t="s">
        <v>85</v>
      </c>
      <c r="H3" s="21" t="s">
        <v>86</v>
      </c>
      <c r="I3" s="21" t="s">
        <v>87</v>
      </c>
    </row>
    <row r="4" spans="1:9" x14ac:dyDescent="0.35">
      <c r="A4" s="18" t="s">
        <v>61</v>
      </c>
      <c r="B4" s="4" t="s">
        <v>75</v>
      </c>
      <c r="C4" s="4">
        <v>16</v>
      </c>
      <c r="D4" s="4">
        <v>10</v>
      </c>
      <c r="E4" s="4" t="s">
        <v>80</v>
      </c>
      <c r="F4" s="4">
        <v>84</v>
      </c>
      <c r="G4" s="4">
        <v>79</v>
      </c>
      <c r="H4" s="4">
        <v>99</v>
      </c>
      <c r="I4" s="18" t="s">
        <v>88</v>
      </c>
    </row>
    <row r="5" spans="1:9" x14ac:dyDescent="0.35">
      <c r="A5" s="18" t="s">
        <v>73</v>
      </c>
      <c r="B5" s="4" t="s">
        <v>76</v>
      </c>
      <c r="C5" s="4">
        <v>14</v>
      </c>
      <c r="D5" s="4">
        <v>8</v>
      </c>
      <c r="E5" s="4" t="s">
        <v>83</v>
      </c>
      <c r="F5" s="4">
        <v>91</v>
      </c>
      <c r="G5" s="4">
        <v>96</v>
      </c>
      <c r="H5" s="4">
        <v>98</v>
      </c>
      <c r="I5" s="18" t="s">
        <v>105</v>
      </c>
    </row>
    <row r="6" spans="1:9" x14ac:dyDescent="0.35">
      <c r="A6" s="18" t="s">
        <v>65</v>
      </c>
      <c r="B6" s="4" t="s">
        <v>76</v>
      </c>
      <c r="C6" s="4">
        <v>16</v>
      </c>
      <c r="D6" s="4">
        <v>10</v>
      </c>
      <c r="E6" s="4" t="s">
        <v>83</v>
      </c>
      <c r="F6" s="4">
        <v>88</v>
      </c>
      <c r="G6" s="4">
        <v>92</v>
      </c>
      <c r="H6" s="4">
        <v>96</v>
      </c>
      <c r="I6" s="18" t="s">
        <v>106</v>
      </c>
    </row>
    <row r="7" spans="1:9" x14ac:dyDescent="0.35">
      <c r="A7" s="18" t="s">
        <v>68</v>
      </c>
      <c r="B7" s="4" t="s">
        <v>75</v>
      </c>
      <c r="C7" s="4">
        <v>15</v>
      </c>
      <c r="D7" s="4">
        <v>9</v>
      </c>
      <c r="E7" s="4" t="s">
        <v>83</v>
      </c>
      <c r="F7" s="4">
        <v>87</v>
      </c>
      <c r="G7" s="4">
        <v>89</v>
      </c>
      <c r="H7" s="4">
        <v>96</v>
      </c>
      <c r="I7" s="18" t="s">
        <v>92</v>
      </c>
    </row>
    <row r="8" spans="1:9" x14ac:dyDescent="0.35">
      <c r="A8" s="18" t="s">
        <v>69</v>
      </c>
      <c r="B8" s="4" t="s">
        <v>76</v>
      </c>
      <c r="C8" s="4">
        <v>17</v>
      </c>
      <c r="D8" s="4">
        <v>10</v>
      </c>
      <c r="E8" s="4" t="s">
        <v>81</v>
      </c>
      <c r="F8" s="4">
        <v>70</v>
      </c>
      <c r="G8" s="4">
        <v>90</v>
      </c>
      <c r="H8" s="4">
        <v>92</v>
      </c>
      <c r="I8" s="18" t="s">
        <v>107</v>
      </c>
    </row>
    <row r="9" spans="1:9" x14ac:dyDescent="0.35">
      <c r="A9" s="18" t="s">
        <v>62</v>
      </c>
      <c r="B9" s="4" t="s">
        <v>75</v>
      </c>
      <c r="C9" s="4">
        <v>11</v>
      </c>
      <c r="D9" s="4">
        <v>5</v>
      </c>
      <c r="E9" s="4" t="s">
        <v>81</v>
      </c>
      <c r="F9" s="4">
        <v>82</v>
      </c>
      <c r="G9" s="4">
        <v>83</v>
      </c>
      <c r="H9" s="4">
        <v>91</v>
      </c>
      <c r="I9" s="18" t="s">
        <v>89</v>
      </c>
    </row>
    <row r="10" spans="1:9" x14ac:dyDescent="0.35">
      <c r="A10" s="18" t="s">
        <v>67</v>
      </c>
      <c r="B10" s="4" t="s">
        <v>76</v>
      </c>
      <c r="C10" s="4">
        <v>14</v>
      </c>
      <c r="D10" s="4">
        <v>8</v>
      </c>
      <c r="E10" s="4" t="s">
        <v>81</v>
      </c>
      <c r="F10" s="4">
        <v>90</v>
      </c>
      <c r="G10" s="4">
        <v>86</v>
      </c>
      <c r="H10" s="4">
        <v>89</v>
      </c>
      <c r="I10" s="18" t="s">
        <v>108</v>
      </c>
    </row>
    <row r="11" spans="1:9" x14ac:dyDescent="0.35">
      <c r="A11" s="18" t="s">
        <v>70</v>
      </c>
      <c r="B11" s="4" t="s">
        <v>75</v>
      </c>
      <c r="C11" s="4">
        <v>12</v>
      </c>
      <c r="D11" s="4">
        <v>7</v>
      </c>
      <c r="E11" s="4" t="s">
        <v>82</v>
      </c>
      <c r="F11" s="4">
        <v>86</v>
      </c>
      <c r="G11" s="4">
        <v>92</v>
      </c>
      <c r="H11" s="4">
        <v>89</v>
      </c>
      <c r="I11" s="18" t="s">
        <v>93</v>
      </c>
    </row>
    <row r="12" spans="1:9" x14ac:dyDescent="0.35">
      <c r="A12" s="18" t="s">
        <v>63</v>
      </c>
      <c r="B12" s="4" t="s">
        <v>76</v>
      </c>
      <c r="C12" s="4">
        <v>15</v>
      </c>
      <c r="D12" s="4">
        <v>8</v>
      </c>
      <c r="E12" s="4" t="s">
        <v>82</v>
      </c>
      <c r="F12" s="4">
        <v>81</v>
      </c>
      <c r="G12" s="4">
        <v>78</v>
      </c>
      <c r="H12" s="4">
        <v>88</v>
      </c>
      <c r="I12" s="18" t="s">
        <v>109</v>
      </c>
    </row>
    <row r="13" spans="1:9" x14ac:dyDescent="0.35">
      <c r="A13" s="18" t="s">
        <v>71</v>
      </c>
      <c r="B13" s="4" t="s">
        <v>76</v>
      </c>
      <c r="C13" s="4">
        <v>16</v>
      </c>
      <c r="D13" s="4">
        <v>10</v>
      </c>
      <c r="E13" s="4" t="s">
        <v>82</v>
      </c>
      <c r="F13" s="4">
        <v>81</v>
      </c>
      <c r="G13" s="4">
        <v>80</v>
      </c>
      <c r="H13" s="4">
        <v>87</v>
      </c>
      <c r="I13" s="18" t="s">
        <v>110</v>
      </c>
    </row>
    <row r="14" spans="1:9" x14ac:dyDescent="0.35">
      <c r="A14" s="18" t="s">
        <v>72</v>
      </c>
      <c r="B14" s="4" t="s">
        <v>76</v>
      </c>
      <c r="C14" s="4">
        <v>16</v>
      </c>
      <c r="D14" s="4">
        <v>10</v>
      </c>
      <c r="E14" s="4" t="s">
        <v>80</v>
      </c>
      <c r="F14" s="4">
        <v>70</v>
      </c>
      <c r="G14" s="4">
        <v>87</v>
      </c>
      <c r="H14" s="4">
        <v>85</v>
      </c>
      <c r="I14" s="18" t="s">
        <v>111</v>
      </c>
    </row>
    <row r="15" spans="1:9" x14ac:dyDescent="0.35">
      <c r="A15" s="18" t="s">
        <v>66</v>
      </c>
      <c r="B15" s="4" t="s">
        <v>75</v>
      </c>
      <c r="C15" s="4">
        <v>16</v>
      </c>
      <c r="D15" s="4">
        <v>10</v>
      </c>
      <c r="E15" s="4" t="s">
        <v>80</v>
      </c>
      <c r="F15" s="4">
        <v>82</v>
      </c>
      <c r="G15" s="4">
        <v>81</v>
      </c>
      <c r="H15" s="4">
        <v>80</v>
      </c>
      <c r="I15" s="18" t="s">
        <v>91</v>
      </c>
    </row>
    <row r="16" spans="1:9" x14ac:dyDescent="0.35">
      <c r="A16" s="18" t="s">
        <v>64</v>
      </c>
      <c r="B16" s="4" t="s">
        <v>75</v>
      </c>
      <c r="C16" s="4">
        <v>14</v>
      </c>
      <c r="D16" s="4">
        <v>8</v>
      </c>
      <c r="E16" s="4" t="s">
        <v>80</v>
      </c>
      <c r="F16" s="4">
        <v>70</v>
      </c>
      <c r="G16" s="4">
        <v>75</v>
      </c>
      <c r="H16" s="4">
        <v>79</v>
      </c>
      <c r="I16" s="18" t="s">
        <v>90</v>
      </c>
    </row>
    <row r="17" spans="1:9" x14ac:dyDescent="0.35">
      <c r="A17" s="18" t="s">
        <v>8</v>
      </c>
      <c r="B17" s="4" t="s">
        <v>75</v>
      </c>
      <c r="C17" s="4">
        <v>16</v>
      </c>
      <c r="D17" s="4">
        <v>10</v>
      </c>
      <c r="E17" s="4" t="s">
        <v>83</v>
      </c>
      <c r="F17" s="4">
        <v>86</v>
      </c>
      <c r="G17" s="4">
        <v>81</v>
      </c>
      <c r="H17" s="4">
        <v>77</v>
      </c>
      <c r="I17" s="18" t="s">
        <v>94</v>
      </c>
    </row>
  </sheetData>
  <sortState xmlns:xlrd2="http://schemas.microsoft.com/office/spreadsheetml/2017/richdata2" ref="A4:A17">
    <sortCondition ref="A4:A17"/>
  </sortState>
  <hyperlinks>
    <hyperlink ref="I5" r:id="rId1" xr:uid="{F13E5CA4-A227-4C61-B269-70AD164DB02F}"/>
    <hyperlink ref="I14" r:id="rId2" xr:uid="{2B6B60E7-F879-4F36-8472-5A670B80B1E5}"/>
    <hyperlink ref="I13" r:id="rId3" xr:uid="{EECA589B-0DF0-484A-8EC3-0604B975E683}"/>
    <hyperlink ref="I17" r:id="rId4" xr:uid="{726F2E4A-F48B-4F3C-832A-BEB496DA750D}"/>
    <hyperlink ref="I11" r:id="rId5" xr:uid="{65395D70-1A72-45A4-9F4D-AD41FA9B29A0}"/>
    <hyperlink ref="I8" r:id="rId6" xr:uid="{5C832A02-0BF8-4F48-88C8-B6867B5B0A20}"/>
    <hyperlink ref="I7" r:id="rId7" xr:uid="{1C9C6453-01ED-40CD-8A2D-ECD6E83E4629}"/>
    <hyperlink ref="I10" r:id="rId8" xr:uid="{501E7A5A-E422-4D34-90FE-83B77DCBA7AA}"/>
    <hyperlink ref="I15" r:id="rId9" xr:uid="{20A56497-5E0B-4C1F-8097-17E4240FB9E9}"/>
    <hyperlink ref="I6" r:id="rId10" xr:uid="{65D4D9D3-75E8-4B57-9FEB-662031560177}"/>
    <hyperlink ref="I16" r:id="rId11" xr:uid="{31DC8E5C-DFD4-4BD9-86AE-C5BFFD3F948C}"/>
    <hyperlink ref="I12" r:id="rId12" xr:uid="{661F98D8-45AD-47E0-8807-F66AA94F070B}"/>
    <hyperlink ref="I9" r:id="rId13" xr:uid="{0A1B3F92-1358-44EA-B986-D82B86B00AB1}"/>
    <hyperlink ref="I4" r:id="rId14" xr:uid="{0F7BA9A5-3647-4A45-80F1-A6DDC14EB3A6}"/>
    <hyperlink ref="A3:A17" location="Sheet2!A1" display="Name" xr:uid="{316993A3-BA0E-43DB-992D-F3F63353C982}"/>
  </hyperlinks>
  <pageMargins left="0.7" right="0.7" top="0.75" bottom="0.75" header="0.3" footer="0.3"/>
  <drawing r:id="rId15"/>
  <tableParts count="1">
    <tablePart r:id="rId16"/>
  </tableParts>
  <extLst>
    <ext xmlns:x15="http://schemas.microsoft.com/office/spreadsheetml/2010/11/main" uri="{3A4CF648-6AED-40f4-86FF-DC5316D8AED3}">
      <x14:slicerList xmlns:x14="http://schemas.microsoft.com/office/spreadsheetml/2009/9/main">
        <x14:slicer r:id="rId1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348CD-E43B-4879-BE14-55F81FB9519C}">
  <dimension ref="A1:B17"/>
  <sheetViews>
    <sheetView workbookViewId="0">
      <selection activeCell="J12" sqref="J12"/>
    </sheetView>
  </sheetViews>
  <sheetFormatPr defaultRowHeight="14.5" x14ac:dyDescent="0.35"/>
  <cols>
    <col min="1" max="1" width="10.36328125" bestFit="1" customWidth="1"/>
    <col min="2" max="2" width="12.54296875" customWidth="1"/>
  </cols>
  <sheetData>
    <row r="1" spans="1:2" ht="21" x14ac:dyDescent="0.5">
      <c r="A1" s="20" t="s">
        <v>95</v>
      </c>
      <c r="B1" s="19"/>
    </row>
    <row r="3" spans="1:2" ht="18.5" x14ac:dyDescent="0.45">
      <c r="A3" s="23" t="s">
        <v>60</v>
      </c>
      <c r="B3" s="21" t="s">
        <v>86</v>
      </c>
    </row>
    <row r="4" spans="1:2" x14ac:dyDescent="0.35">
      <c r="A4" s="18" t="s">
        <v>61</v>
      </c>
      <c r="B4" s="4">
        <v>99</v>
      </c>
    </row>
    <row r="5" spans="1:2" x14ac:dyDescent="0.35">
      <c r="A5" s="18" t="s">
        <v>73</v>
      </c>
      <c r="B5" s="4">
        <v>98</v>
      </c>
    </row>
    <row r="6" spans="1:2" x14ac:dyDescent="0.35">
      <c r="A6" s="18" t="s">
        <v>65</v>
      </c>
      <c r="B6" s="4">
        <v>96</v>
      </c>
    </row>
    <row r="7" spans="1:2" x14ac:dyDescent="0.35">
      <c r="A7" s="18" t="s">
        <v>68</v>
      </c>
      <c r="B7" s="4">
        <v>96</v>
      </c>
    </row>
    <row r="8" spans="1:2" x14ac:dyDescent="0.35">
      <c r="A8" s="18" t="s">
        <v>69</v>
      </c>
      <c r="B8" s="4">
        <v>92</v>
      </c>
    </row>
    <row r="9" spans="1:2" x14ac:dyDescent="0.35">
      <c r="A9" s="18" t="s">
        <v>62</v>
      </c>
      <c r="B9" s="4">
        <v>91</v>
      </c>
    </row>
    <row r="10" spans="1:2" x14ac:dyDescent="0.35">
      <c r="A10" s="18" t="s">
        <v>67</v>
      </c>
      <c r="B10" s="4">
        <v>89</v>
      </c>
    </row>
    <row r="11" spans="1:2" x14ac:dyDescent="0.35">
      <c r="A11" s="18" t="s">
        <v>70</v>
      </c>
      <c r="B11" s="4">
        <v>89</v>
      </c>
    </row>
    <row r="12" spans="1:2" x14ac:dyDescent="0.35">
      <c r="A12" s="18" t="s">
        <v>63</v>
      </c>
      <c r="B12" s="4">
        <v>88</v>
      </c>
    </row>
    <row r="13" spans="1:2" x14ac:dyDescent="0.35">
      <c r="A13" s="18" t="s">
        <v>71</v>
      </c>
      <c r="B13" s="4">
        <v>87</v>
      </c>
    </row>
    <row r="14" spans="1:2" x14ac:dyDescent="0.35">
      <c r="A14" s="18" t="s">
        <v>72</v>
      </c>
      <c r="B14" s="4">
        <v>85</v>
      </c>
    </row>
    <row r="15" spans="1:2" x14ac:dyDescent="0.35">
      <c r="A15" s="18" t="s">
        <v>66</v>
      </c>
      <c r="B15" s="4">
        <v>80</v>
      </c>
    </row>
    <row r="16" spans="1:2" x14ac:dyDescent="0.35">
      <c r="A16" s="18" t="s">
        <v>64</v>
      </c>
      <c r="B16" s="4">
        <v>79</v>
      </c>
    </row>
    <row r="17" spans="1:2" x14ac:dyDescent="0.35">
      <c r="A17" s="18" t="s">
        <v>8</v>
      </c>
      <c r="B17" s="4">
        <v>77</v>
      </c>
    </row>
  </sheetData>
  <hyperlinks>
    <hyperlink ref="A3:A17" location="Sheet2!A1" display="Name" xr:uid="{EBF676D0-8B9D-42B4-8A13-83C63224381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ADCB-7218-47CC-A492-0EF3C5ACA35B}">
  <dimension ref="A3:K17"/>
  <sheetViews>
    <sheetView workbookViewId="0">
      <selection activeCell="A3" sqref="A3:H17"/>
    </sheetView>
  </sheetViews>
  <sheetFormatPr defaultRowHeight="14.5" x14ac:dyDescent="0.35"/>
  <cols>
    <col min="2" max="2" width="10.6328125" customWidth="1"/>
    <col min="5" max="5" width="9.453125" customWidth="1"/>
    <col min="6" max="7" width="13.81640625" customWidth="1"/>
    <col min="8" max="8" width="12.54296875" customWidth="1"/>
  </cols>
  <sheetData>
    <row r="3" spans="1:11" ht="18.5" x14ac:dyDescent="0.45">
      <c r="A3" s="31" t="s">
        <v>60</v>
      </c>
      <c r="B3" s="32" t="s">
        <v>74</v>
      </c>
      <c r="C3" s="32" t="s">
        <v>77</v>
      </c>
      <c r="D3" s="32" t="s">
        <v>78</v>
      </c>
      <c r="E3" s="32" t="s">
        <v>79</v>
      </c>
      <c r="F3" s="32" t="s">
        <v>84</v>
      </c>
      <c r="G3" s="32" t="s">
        <v>85</v>
      </c>
      <c r="H3" s="33" t="s">
        <v>86</v>
      </c>
    </row>
    <row r="4" spans="1:11" x14ac:dyDescent="0.35">
      <c r="A4" t="s">
        <v>61</v>
      </c>
      <c r="B4" s="27" t="s">
        <v>75</v>
      </c>
      <c r="C4" s="27">
        <v>16</v>
      </c>
      <c r="D4" s="27">
        <v>10</v>
      </c>
      <c r="E4" s="27" t="s">
        <v>80</v>
      </c>
      <c r="F4" s="27">
        <v>84</v>
      </c>
      <c r="G4" s="27">
        <v>79</v>
      </c>
      <c r="H4" s="29">
        <v>99</v>
      </c>
    </row>
    <row r="5" spans="1:11" x14ac:dyDescent="0.35">
      <c r="A5" t="s">
        <v>73</v>
      </c>
      <c r="B5" s="28" t="s">
        <v>76</v>
      </c>
      <c r="C5" s="28">
        <v>14</v>
      </c>
      <c r="D5" s="28">
        <v>8</v>
      </c>
      <c r="E5" s="28" t="s">
        <v>83</v>
      </c>
      <c r="F5" s="28">
        <v>91</v>
      </c>
      <c r="G5" s="28">
        <v>96</v>
      </c>
      <c r="H5" s="30">
        <v>100</v>
      </c>
    </row>
    <row r="6" spans="1:11" x14ac:dyDescent="0.35">
      <c r="A6" t="s">
        <v>65</v>
      </c>
      <c r="B6" s="27" t="s">
        <v>76</v>
      </c>
      <c r="C6" s="27">
        <v>16</v>
      </c>
      <c r="D6" s="27">
        <v>10</v>
      </c>
      <c r="E6" s="27" t="s">
        <v>83</v>
      </c>
      <c r="F6" s="27">
        <v>88</v>
      </c>
      <c r="G6" s="27">
        <v>92</v>
      </c>
      <c r="H6" s="29">
        <v>96</v>
      </c>
    </row>
    <row r="7" spans="1:11" x14ac:dyDescent="0.35">
      <c r="A7" t="s">
        <v>68</v>
      </c>
      <c r="B7" s="28" t="s">
        <v>75</v>
      </c>
      <c r="C7" s="28">
        <v>15</v>
      </c>
      <c r="D7" s="28">
        <v>9</v>
      </c>
      <c r="E7" s="28" t="s">
        <v>83</v>
      </c>
      <c r="F7" s="28">
        <v>87</v>
      </c>
      <c r="G7" s="28">
        <v>89</v>
      </c>
      <c r="H7" s="30">
        <v>96</v>
      </c>
      <c r="J7" s="6" t="s">
        <v>60</v>
      </c>
      <c r="K7" s="6" t="s">
        <v>86</v>
      </c>
    </row>
    <row r="8" spans="1:11" x14ac:dyDescent="0.35">
      <c r="A8" t="s">
        <v>69</v>
      </c>
      <c r="B8" s="27" t="s">
        <v>76</v>
      </c>
      <c r="C8" s="27">
        <v>17</v>
      </c>
      <c r="D8" s="27">
        <v>10</v>
      </c>
      <c r="E8" s="27" t="s">
        <v>81</v>
      </c>
      <c r="F8" s="27">
        <v>70</v>
      </c>
      <c r="G8" s="27">
        <v>90</v>
      </c>
      <c r="H8" s="29">
        <v>92</v>
      </c>
      <c r="J8" s="6" t="s">
        <v>73</v>
      </c>
      <c r="K8" s="6">
        <f>VLOOKUP(J8,Table4[#All],8,0)</f>
        <v>100</v>
      </c>
    </row>
    <row r="9" spans="1:11" x14ac:dyDescent="0.35">
      <c r="A9" t="s">
        <v>62</v>
      </c>
      <c r="B9" s="28" t="s">
        <v>75</v>
      </c>
      <c r="C9" s="28">
        <v>11</v>
      </c>
      <c r="D9" s="28">
        <v>5</v>
      </c>
      <c r="E9" s="28" t="s">
        <v>81</v>
      </c>
      <c r="F9" s="28">
        <v>82</v>
      </c>
      <c r="G9" s="28">
        <v>83</v>
      </c>
      <c r="H9" s="30">
        <v>91</v>
      </c>
      <c r="J9" s="6" t="s">
        <v>65</v>
      </c>
      <c r="K9" s="6">
        <f>VLOOKUP(J9,Table4[#All],8,0)</f>
        <v>96</v>
      </c>
    </row>
    <row r="10" spans="1:11" x14ac:dyDescent="0.35">
      <c r="A10" t="s">
        <v>67</v>
      </c>
      <c r="B10" s="27" t="s">
        <v>76</v>
      </c>
      <c r="C10" s="27">
        <v>14</v>
      </c>
      <c r="D10" s="27">
        <v>8</v>
      </c>
      <c r="E10" s="27" t="s">
        <v>81</v>
      </c>
      <c r="F10" s="27">
        <v>90</v>
      </c>
      <c r="G10" s="27">
        <v>86</v>
      </c>
      <c r="H10" s="29">
        <v>89</v>
      </c>
      <c r="J10" s="6" t="s">
        <v>68</v>
      </c>
      <c r="K10" s="6">
        <f>VLOOKUP(J10,Table4[#All],8,0)</f>
        <v>96</v>
      </c>
    </row>
    <row r="11" spans="1:11" x14ac:dyDescent="0.35">
      <c r="A11" t="s">
        <v>70</v>
      </c>
      <c r="B11" s="28" t="s">
        <v>75</v>
      </c>
      <c r="C11" s="28">
        <v>12</v>
      </c>
      <c r="D11" s="28">
        <v>7</v>
      </c>
      <c r="E11" s="28" t="s">
        <v>82</v>
      </c>
      <c r="F11" s="28">
        <v>86</v>
      </c>
      <c r="G11" s="28">
        <v>92</v>
      </c>
      <c r="H11" s="30">
        <v>89</v>
      </c>
      <c r="J11" s="6" t="s">
        <v>69</v>
      </c>
      <c r="K11" s="6">
        <f>VLOOKUP(J11,Table4[#All],8,0)</f>
        <v>92</v>
      </c>
    </row>
    <row r="12" spans="1:11" x14ac:dyDescent="0.35">
      <c r="A12" t="s">
        <v>63</v>
      </c>
      <c r="B12" s="27" t="s">
        <v>76</v>
      </c>
      <c r="C12" s="27">
        <v>15</v>
      </c>
      <c r="D12" s="27">
        <v>8</v>
      </c>
      <c r="E12" s="27" t="s">
        <v>82</v>
      </c>
      <c r="F12" s="27">
        <v>81</v>
      </c>
      <c r="G12" s="27">
        <v>78</v>
      </c>
      <c r="H12" s="29">
        <v>88</v>
      </c>
    </row>
    <row r="13" spans="1:11" x14ac:dyDescent="0.35">
      <c r="A13" t="s">
        <v>71</v>
      </c>
      <c r="B13" s="28" t="s">
        <v>76</v>
      </c>
      <c r="C13" s="28">
        <v>16</v>
      </c>
      <c r="D13" s="28">
        <v>10</v>
      </c>
      <c r="E13" s="28" t="s">
        <v>82</v>
      </c>
      <c r="F13" s="28">
        <v>81</v>
      </c>
      <c r="G13" s="28">
        <v>80</v>
      </c>
      <c r="H13" s="30">
        <v>87</v>
      </c>
    </row>
    <row r="14" spans="1:11" x14ac:dyDescent="0.35">
      <c r="A14" t="s">
        <v>72</v>
      </c>
      <c r="B14" s="27" t="s">
        <v>76</v>
      </c>
      <c r="C14" s="27">
        <v>16</v>
      </c>
      <c r="D14" s="27">
        <v>10</v>
      </c>
      <c r="E14" s="27" t="s">
        <v>80</v>
      </c>
      <c r="F14" s="27">
        <v>70</v>
      </c>
      <c r="G14" s="27">
        <v>87</v>
      </c>
      <c r="H14" s="29">
        <v>85</v>
      </c>
    </row>
    <row r="15" spans="1:11" x14ac:dyDescent="0.35">
      <c r="A15" t="s">
        <v>66</v>
      </c>
      <c r="B15" s="28" t="s">
        <v>75</v>
      </c>
      <c r="C15" s="28">
        <v>16</v>
      </c>
      <c r="D15" s="28">
        <v>10</v>
      </c>
      <c r="E15" s="28" t="s">
        <v>80</v>
      </c>
      <c r="F15" s="28">
        <v>82</v>
      </c>
      <c r="G15" s="28">
        <v>81</v>
      </c>
      <c r="H15" s="30">
        <v>80</v>
      </c>
    </row>
    <row r="16" spans="1:11" x14ac:dyDescent="0.35">
      <c r="A16" t="s">
        <v>64</v>
      </c>
      <c r="B16" s="27" t="s">
        <v>75</v>
      </c>
      <c r="C16" s="27">
        <v>14</v>
      </c>
      <c r="D16" s="27">
        <v>8</v>
      </c>
      <c r="E16" s="27" t="s">
        <v>80</v>
      </c>
      <c r="F16" s="27">
        <v>70</v>
      </c>
      <c r="G16" s="27">
        <v>75</v>
      </c>
      <c r="H16" s="29">
        <v>79</v>
      </c>
    </row>
    <row r="17" spans="1:8" x14ac:dyDescent="0.35">
      <c r="A17" t="s">
        <v>8</v>
      </c>
      <c r="B17" s="28" t="s">
        <v>75</v>
      </c>
      <c r="C17" s="28">
        <v>16</v>
      </c>
      <c r="D17" s="28">
        <v>10</v>
      </c>
      <c r="E17" s="28" t="s">
        <v>83</v>
      </c>
      <c r="F17" s="28">
        <v>86</v>
      </c>
      <c r="G17" s="28">
        <v>81</v>
      </c>
      <c r="H17" s="30">
        <v>77</v>
      </c>
    </row>
  </sheetData>
  <conditionalFormatting sqref="A3:A17">
    <cfRule type="duplicateValues" dxfId="12"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D5B6C-271D-4B6B-B291-E3D7F9288A7D}">
  <dimension ref="A3:I17"/>
  <sheetViews>
    <sheetView topLeftCell="A2" workbookViewId="0">
      <selection activeCell="K10" sqref="K10"/>
    </sheetView>
  </sheetViews>
  <sheetFormatPr defaultRowHeight="14.5" x14ac:dyDescent="0.35"/>
  <cols>
    <col min="5" max="5" width="7.6328125" bestFit="1" customWidth="1"/>
    <col min="6" max="7" width="12" bestFit="1" customWidth="1"/>
    <col min="8" max="8" width="10.7265625" bestFit="1" customWidth="1"/>
    <col min="9" max="9" width="16.81640625" bestFit="1" customWidth="1"/>
  </cols>
  <sheetData>
    <row r="3" spans="1:9" ht="18.5" x14ac:dyDescent="0.45">
      <c r="A3" s="31" t="s">
        <v>60</v>
      </c>
      <c r="B3" s="32" t="s">
        <v>74</v>
      </c>
      <c r="C3" s="32" t="s">
        <v>77</v>
      </c>
      <c r="D3" s="32" t="s">
        <v>78</v>
      </c>
      <c r="E3" s="32" t="s">
        <v>79</v>
      </c>
      <c r="F3" s="32" t="s">
        <v>84</v>
      </c>
      <c r="G3" s="32" t="s">
        <v>85</v>
      </c>
      <c r="H3" s="33" t="s">
        <v>86</v>
      </c>
      <c r="I3" s="39" t="s">
        <v>116</v>
      </c>
    </row>
    <row r="4" spans="1:9" x14ac:dyDescent="0.35">
      <c r="A4" t="s">
        <v>61</v>
      </c>
      <c r="B4" s="27" t="s">
        <v>75</v>
      </c>
      <c r="C4" s="27">
        <v>16</v>
      </c>
      <c r="D4" s="27">
        <v>10</v>
      </c>
      <c r="E4" s="27" t="s">
        <v>80</v>
      </c>
      <c r="F4" s="27">
        <v>84</v>
      </c>
      <c r="G4" s="27">
        <v>79</v>
      </c>
      <c r="H4" s="29">
        <v>120</v>
      </c>
      <c r="I4" s="37"/>
    </row>
    <row r="5" spans="1:9" x14ac:dyDescent="0.35">
      <c r="A5" t="s">
        <v>73</v>
      </c>
      <c r="B5" s="28" t="s">
        <v>76</v>
      </c>
      <c r="C5" s="28">
        <v>14</v>
      </c>
      <c r="D5" s="28">
        <v>8</v>
      </c>
      <c r="E5" s="28" t="s">
        <v>83</v>
      </c>
      <c r="F5" s="28">
        <v>91</v>
      </c>
      <c r="G5" s="28">
        <v>96</v>
      </c>
      <c r="H5" s="30">
        <v>100</v>
      </c>
      <c r="I5" s="28"/>
    </row>
    <row r="6" spans="1:9" x14ac:dyDescent="0.35">
      <c r="A6" t="s">
        <v>65</v>
      </c>
      <c r="B6" s="27" t="s">
        <v>76</v>
      </c>
      <c r="C6" s="27">
        <v>16</v>
      </c>
      <c r="D6" s="27">
        <v>10</v>
      </c>
      <c r="E6" s="27" t="s">
        <v>83</v>
      </c>
      <c r="F6" s="27">
        <v>88</v>
      </c>
      <c r="G6" s="27">
        <v>92</v>
      </c>
      <c r="H6" s="29">
        <v>96</v>
      </c>
      <c r="I6" s="28"/>
    </row>
    <row r="7" spans="1:9" x14ac:dyDescent="0.35">
      <c r="A7" t="s">
        <v>68</v>
      </c>
      <c r="B7" s="28" t="s">
        <v>75</v>
      </c>
      <c r="C7" s="28">
        <v>15</v>
      </c>
      <c r="D7" s="28">
        <v>9</v>
      </c>
      <c r="E7" s="28" t="s">
        <v>83</v>
      </c>
      <c r="F7" s="28">
        <v>87</v>
      </c>
      <c r="G7" s="28">
        <v>89</v>
      </c>
      <c r="H7" s="30">
        <v>96</v>
      </c>
      <c r="I7" s="28"/>
    </row>
    <row r="8" spans="1:9" x14ac:dyDescent="0.35">
      <c r="A8" t="s">
        <v>69</v>
      </c>
      <c r="B8" s="27" t="s">
        <v>76</v>
      </c>
      <c r="C8" s="27">
        <v>17</v>
      </c>
      <c r="D8" s="27">
        <v>10</v>
      </c>
      <c r="E8" s="27" t="s">
        <v>81</v>
      </c>
      <c r="F8" s="27">
        <v>70</v>
      </c>
      <c r="G8" s="27">
        <v>90</v>
      </c>
      <c r="H8" s="29">
        <v>92</v>
      </c>
      <c r="I8" s="28"/>
    </row>
    <row r="9" spans="1:9" x14ac:dyDescent="0.35">
      <c r="A9" t="s">
        <v>62</v>
      </c>
      <c r="B9" s="28" t="s">
        <v>75</v>
      </c>
      <c r="C9" s="28">
        <v>11</v>
      </c>
      <c r="D9" s="28">
        <v>5</v>
      </c>
      <c r="E9" s="28" t="s">
        <v>81</v>
      </c>
      <c r="F9" s="28">
        <v>82</v>
      </c>
      <c r="G9" s="28">
        <v>83</v>
      </c>
      <c r="H9" s="30">
        <v>91</v>
      </c>
      <c r="I9" s="28"/>
    </row>
    <row r="10" spans="1:9" x14ac:dyDescent="0.35">
      <c r="A10" t="s">
        <v>67</v>
      </c>
      <c r="B10" s="27" t="s">
        <v>76</v>
      </c>
      <c r="C10" s="27">
        <v>14</v>
      </c>
      <c r="D10" s="27">
        <v>8</v>
      </c>
      <c r="E10" s="27" t="s">
        <v>81</v>
      </c>
      <c r="F10" s="27">
        <v>90</v>
      </c>
      <c r="G10" s="27">
        <v>86</v>
      </c>
      <c r="H10" s="29">
        <v>89</v>
      </c>
      <c r="I10" s="28"/>
    </row>
    <row r="11" spans="1:9" x14ac:dyDescent="0.35">
      <c r="A11" t="s">
        <v>70</v>
      </c>
      <c r="B11" s="28" t="s">
        <v>75</v>
      </c>
      <c r="C11" s="28">
        <v>12</v>
      </c>
      <c r="D11" s="28">
        <v>7</v>
      </c>
      <c r="E11" s="28" t="s">
        <v>82</v>
      </c>
      <c r="F11" s="28">
        <v>86</v>
      </c>
      <c r="G11" s="28">
        <v>92</v>
      </c>
      <c r="H11" s="30">
        <v>89</v>
      </c>
      <c r="I11" s="28"/>
    </row>
    <row r="12" spans="1:9" x14ac:dyDescent="0.35">
      <c r="A12" t="s">
        <v>63</v>
      </c>
      <c r="B12" s="27" t="s">
        <v>76</v>
      </c>
      <c r="C12" s="27">
        <v>15</v>
      </c>
      <c r="D12" s="27">
        <v>8</v>
      </c>
      <c r="E12" s="27" t="s">
        <v>82</v>
      </c>
      <c r="F12" s="27">
        <v>81</v>
      </c>
      <c r="G12" s="27">
        <v>78</v>
      </c>
      <c r="H12" s="29">
        <v>88</v>
      </c>
      <c r="I12" s="28"/>
    </row>
    <row r="13" spans="1:9" x14ac:dyDescent="0.35">
      <c r="A13" t="s">
        <v>71</v>
      </c>
      <c r="B13" s="28" t="s">
        <v>76</v>
      </c>
      <c r="C13" s="28">
        <v>16</v>
      </c>
      <c r="D13" s="28">
        <v>10</v>
      </c>
      <c r="E13" s="28" t="s">
        <v>82</v>
      </c>
      <c r="F13" s="28">
        <v>81</v>
      </c>
      <c r="G13" s="28">
        <v>80</v>
      </c>
      <c r="H13" s="30">
        <v>87</v>
      </c>
      <c r="I13" s="28"/>
    </row>
    <row r="14" spans="1:9" x14ac:dyDescent="0.35">
      <c r="A14" t="s">
        <v>72</v>
      </c>
      <c r="B14" s="27" t="s">
        <v>76</v>
      </c>
      <c r="C14" s="27">
        <v>16</v>
      </c>
      <c r="D14" s="27">
        <v>10</v>
      </c>
      <c r="E14" s="27" t="s">
        <v>80</v>
      </c>
      <c r="F14" s="27">
        <v>70</v>
      </c>
      <c r="G14" s="27">
        <v>87</v>
      </c>
      <c r="H14" s="29">
        <v>85</v>
      </c>
      <c r="I14" s="28"/>
    </row>
    <row r="15" spans="1:9" x14ac:dyDescent="0.35">
      <c r="A15" t="s">
        <v>66</v>
      </c>
      <c r="B15" s="28" t="s">
        <v>75</v>
      </c>
      <c r="C15" s="28">
        <v>16</v>
      </c>
      <c r="D15" s="28">
        <v>10</v>
      </c>
      <c r="E15" s="28" t="s">
        <v>80</v>
      </c>
      <c r="F15" s="28">
        <v>82</v>
      </c>
      <c r="G15" s="28">
        <v>81</v>
      </c>
      <c r="H15" s="30">
        <v>80</v>
      </c>
      <c r="I15" s="28"/>
    </row>
    <row r="16" spans="1:9" x14ac:dyDescent="0.35">
      <c r="A16" t="s">
        <v>64</v>
      </c>
      <c r="B16" s="27" t="s">
        <v>75</v>
      </c>
      <c r="C16" s="27">
        <v>14</v>
      </c>
      <c r="D16" s="27">
        <v>8</v>
      </c>
      <c r="E16" s="27" t="s">
        <v>80</v>
      </c>
      <c r="F16" s="27">
        <v>70</v>
      </c>
      <c r="G16" s="27">
        <v>75</v>
      </c>
      <c r="H16" s="29">
        <v>79</v>
      </c>
      <c r="I16" s="28"/>
    </row>
    <row r="17" spans="1:9" x14ac:dyDescent="0.35">
      <c r="A17" t="s">
        <v>8</v>
      </c>
      <c r="B17" s="28" t="s">
        <v>75</v>
      </c>
      <c r="C17" s="28">
        <v>16</v>
      </c>
      <c r="D17" s="28">
        <v>10</v>
      </c>
      <c r="E17" s="28" t="s">
        <v>83</v>
      </c>
      <c r="F17" s="28">
        <v>86</v>
      </c>
      <c r="G17" s="28">
        <v>81</v>
      </c>
      <c r="H17" s="30">
        <v>77</v>
      </c>
      <c r="I17" s="38"/>
    </row>
  </sheetData>
  <conditionalFormatting sqref="A3:A17">
    <cfRule type="duplicateValues" dxfId="11"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C0A1-319A-46A0-97A2-B89D9F6F2C42}">
  <dimension ref="A3:B6"/>
  <sheetViews>
    <sheetView workbookViewId="0">
      <selection activeCell="D3" sqref="D3"/>
    </sheetView>
  </sheetViews>
  <sheetFormatPr defaultRowHeight="14.5" x14ac:dyDescent="0.35"/>
  <cols>
    <col min="1" max="1" width="12.36328125" bestFit="1" customWidth="1"/>
    <col min="2" max="2" width="18" bestFit="1" customWidth="1"/>
    <col min="3" max="3" width="15.90625" bestFit="1" customWidth="1"/>
  </cols>
  <sheetData>
    <row r="3" spans="1:2" x14ac:dyDescent="0.35">
      <c r="A3" s="34" t="s">
        <v>112</v>
      </c>
      <c r="B3" t="s">
        <v>115</v>
      </c>
    </row>
    <row r="4" spans="1:2" x14ac:dyDescent="0.35">
      <c r="A4" s="35" t="s">
        <v>76</v>
      </c>
      <c r="B4" s="36">
        <v>91</v>
      </c>
    </row>
    <row r="5" spans="1:2" x14ac:dyDescent="0.35">
      <c r="A5" s="35" t="s">
        <v>75</v>
      </c>
      <c r="B5" s="36">
        <v>90.285714285714292</v>
      </c>
    </row>
    <row r="6" spans="1:2" x14ac:dyDescent="0.35">
      <c r="A6" s="35" t="s">
        <v>113</v>
      </c>
      <c r="B6" s="36">
        <v>90.642857142857139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3F93-3B9D-4C3E-A81B-6E3754DD85ED}">
  <dimension ref="A1"/>
  <sheetViews>
    <sheetView workbookViewId="0">
      <selection activeCell="A3" sqref="A3"/>
    </sheetView>
  </sheetViews>
  <sheetFormatPr defaultRowHeight="14.5" x14ac:dyDescent="0.3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C41C-B1CA-4514-97B8-D83F06917ECF}">
  <dimension ref="A3:C11"/>
  <sheetViews>
    <sheetView tabSelected="1" workbookViewId="0">
      <selection activeCell="C3" sqref="C3"/>
    </sheetView>
  </sheetViews>
  <sheetFormatPr defaultRowHeight="14.5" x14ac:dyDescent="0.35"/>
  <cols>
    <col min="1" max="1" width="12.36328125" bestFit="1" customWidth="1"/>
    <col min="2" max="2" width="9.26953125" bestFit="1" customWidth="1"/>
    <col min="3" max="3" width="14.81640625" bestFit="1" customWidth="1"/>
  </cols>
  <sheetData>
    <row r="3" spans="1:3" x14ac:dyDescent="0.35">
      <c r="A3" s="34" t="s">
        <v>79</v>
      </c>
      <c r="B3" s="34" t="s">
        <v>74</v>
      </c>
      <c r="C3" t="s">
        <v>114</v>
      </c>
    </row>
    <row r="4" spans="1:3" x14ac:dyDescent="0.35">
      <c r="A4" t="s">
        <v>83</v>
      </c>
      <c r="B4" t="s">
        <v>76</v>
      </c>
      <c r="C4" s="36">
        <v>196</v>
      </c>
    </row>
    <row r="5" spans="1:3" x14ac:dyDescent="0.35">
      <c r="B5" t="s">
        <v>75</v>
      </c>
      <c r="C5" s="36">
        <v>173</v>
      </c>
    </row>
    <row r="6" spans="1:3" x14ac:dyDescent="0.35">
      <c r="A6" t="s">
        <v>80</v>
      </c>
      <c r="B6" t="s">
        <v>76</v>
      </c>
      <c r="C6" s="36">
        <v>85</v>
      </c>
    </row>
    <row r="7" spans="1:3" x14ac:dyDescent="0.35">
      <c r="B7" t="s">
        <v>75</v>
      </c>
      <c r="C7" s="36">
        <v>279</v>
      </c>
    </row>
    <row r="8" spans="1:3" x14ac:dyDescent="0.35">
      <c r="A8" t="s">
        <v>82</v>
      </c>
      <c r="B8" t="s">
        <v>76</v>
      </c>
      <c r="C8" s="36">
        <v>175</v>
      </c>
    </row>
    <row r="9" spans="1:3" x14ac:dyDescent="0.35">
      <c r="B9" t="s">
        <v>75</v>
      </c>
      <c r="C9" s="36">
        <v>89</v>
      </c>
    </row>
    <row r="10" spans="1:3" x14ac:dyDescent="0.35">
      <c r="A10" t="s">
        <v>81</v>
      </c>
      <c r="B10" t="s">
        <v>76</v>
      </c>
      <c r="C10" s="36">
        <v>181</v>
      </c>
    </row>
    <row r="11" spans="1:3" x14ac:dyDescent="0.35">
      <c r="B11" t="s">
        <v>75</v>
      </c>
      <c r="C11" s="36">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YT Excel</vt:lpstr>
      <vt:lpstr>Autofill</vt:lpstr>
      <vt:lpstr>Rounding</vt:lpstr>
      <vt:lpstr>Hiperlink</vt:lpstr>
      <vt:lpstr>Dropdown</vt:lpstr>
      <vt:lpstr>Sheet5</vt:lpstr>
      <vt:lpstr>School Data</vt:lpstr>
      <vt:lpstr>Charts</vt:lpstr>
      <vt:lpstr>VLookUp</vt:lpstr>
      <vt:lpstr>Pivot table</vt:lpstr>
      <vt:lpstr>Pivot table1</vt:lpstr>
      <vt:lpstr>Pivot table3</vt:lpstr>
      <vt:lpstr>Pivot table2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monikabanait23@gmail.com</dc:creator>
  <cp:lastModifiedBy>monika banait</cp:lastModifiedBy>
  <dcterms:created xsi:type="dcterms:W3CDTF">2026-10-02T08:38:07Z</dcterms:created>
  <dcterms:modified xsi:type="dcterms:W3CDTF">2026-10-02T17:01:39Z</dcterms:modified>
</cp:coreProperties>
</file>